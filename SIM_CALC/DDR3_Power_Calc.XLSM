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mc:AlternateContent xmlns:mc="http://schemas.openxmlformats.org/markup-compatibility/2006">
    <mc:Choice Requires="x15">
      <x15ac:absPath xmlns:x15ac="http://schemas.microsoft.com/office/spreadsheetml/2010/11/ac" url="D:\Dropbox\DESIGNS\MTCA projects\ARTIQ\SIM_CALC\"/>
    </mc:Choice>
  </mc:AlternateContent>
  <bookViews>
    <workbookView xWindow="0" yWindow="0" windowWidth="28800" windowHeight="11475" firstSheet="3" activeTab="5"/>
  </bookViews>
  <sheets>
    <sheet name="Title" sheetId="4" r:id="rId1"/>
    <sheet name="Instructions" sheetId="7" r:id="rId2"/>
    <sheet name="DDR3 Spec" sheetId="8" r:id="rId3"/>
    <sheet name="DDR3 Config" sheetId="1" r:id="rId4"/>
    <sheet name="System Config" sheetId="2" r:id="rId5"/>
    <sheet name="Power Calcs" sheetId="5" r:id="rId6"/>
    <sheet name="Summary" sheetId="6" r:id="rId7"/>
  </sheets>
  <definedNames>
    <definedName name="_xlnm.Print_Area" localSheetId="3">'DDR3 Config'!$A$1:$O$37</definedName>
    <definedName name="_xlnm.Print_Area" localSheetId="2">'DDR3 Spec'!$A$1:$AL$107</definedName>
    <definedName name="_xlnm.Print_Area" localSheetId="1">Instructions!$A$1:$E$42</definedName>
    <definedName name="_xlnm.Print_Area" localSheetId="5">'Power Calcs'!$A$1:$L$24</definedName>
    <definedName name="_xlnm.Print_Area" localSheetId="6">Summary!$A$1:$M$60</definedName>
    <definedName name="_xlnm.Print_Area" localSheetId="4">'System Config'!$A$1:$E$35</definedName>
    <definedName name="_xlnm.Print_Area" localSheetId="0">Title!$A$1:$E$23</definedName>
  </definedNames>
  <calcPr calcId="152511"/>
</workbook>
</file>

<file path=xl/calcChain.xml><?xml version="1.0" encoding="utf-8"?>
<calcChain xmlns="http://schemas.openxmlformats.org/spreadsheetml/2006/main">
  <c r="I17" i="2" l="1"/>
  <c r="U13" i="2"/>
  <c r="U14" i="2"/>
  <c r="U15" i="2"/>
  <c r="Q15" i="2"/>
  <c r="E16" i="2"/>
  <c r="I15" i="2"/>
  <c r="Q17" i="2" l="1"/>
  <c r="C39" i="2"/>
  <c r="C40" i="2" s="1"/>
  <c r="C28" i="2" s="1"/>
  <c r="C24" i="2"/>
  <c r="E22" i="2"/>
  <c r="E18" i="2"/>
  <c r="K19" i="2"/>
  <c r="M63" i="8"/>
  <c r="L63" i="8"/>
  <c r="K63" i="8"/>
  <c r="J63" i="8"/>
  <c r="I63" i="8"/>
  <c r="H63" i="8"/>
  <c r="G63" i="8"/>
  <c r="F63" i="8"/>
  <c r="E63" i="8"/>
  <c r="D63" i="8"/>
  <c r="M60" i="8"/>
  <c r="L60" i="8"/>
  <c r="K60" i="8"/>
  <c r="J60" i="8"/>
  <c r="I60" i="8"/>
  <c r="H60" i="8"/>
  <c r="G60" i="8"/>
  <c r="F60" i="8"/>
  <c r="E60" i="8"/>
  <c r="D60" i="8"/>
  <c r="P20" i="6"/>
  <c r="P14" i="6"/>
  <c r="P13" i="6"/>
  <c r="P11" i="6"/>
  <c r="P12" i="6"/>
  <c r="P10" i="6"/>
  <c r="P19" i="6"/>
  <c r="P15" i="6"/>
  <c r="P17" i="6"/>
  <c r="P16" i="6"/>
  <c r="P18" i="6"/>
  <c r="C8" i="1"/>
  <c r="C34" i="5" s="1"/>
  <c r="C7" i="1"/>
  <c r="M66" i="8"/>
  <c r="L66" i="8"/>
  <c r="K66" i="8"/>
  <c r="J66" i="8"/>
  <c r="I66" i="8"/>
  <c r="H66" i="8"/>
  <c r="G66" i="8"/>
  <c r="F66" i="8"/>
  <c r="E66" i="8"/>
  <c r="D66" i="8"/>
  <c r="M65" i="8"/>
  <c r="L65" i="8"/>
  <c r="K65" i="8"/>
  <c r="J65" i="8"/>
  <c r="I65" i="8"/>
  <c r="H65" i="8"/>
  <c r="G65" i="8"/>
  <c r="F65" i="8"/>
  <c r="E65" i="8"/>
  <c r="D65" i="8"/>
  <c r="M64" i="8"/>
  <c r="L64" i="8"/>
  <c r="K64" i="8"/>
  <c r="J64" i="8"/>
  <c r="I64" i="8"/>
  <c r="H64" i="8"/>
  <c r="G64" i="8"/>
  <c r="F64" i="8"/>
  <c r="E64" i="8"/>
  <c r="D64" i="8"/>
  <c r="M62" i="8"/>
  <c r="L62" i="8"/>
  <c r="K62" i="8"/>
  <c r="J62" i="8"/>
  <c r="I62" i="8"/>
  <c r="H62" i="8"/>
  <c r="G62" i="8"/>
  <c r="F62" i="8"/>
  <c r="E62" i="8"/>
  <c r="D62" i="8"/>
  <c r="M61" i="8"/>
  <c r="L61" i="8"/>
  <c r="K61" i="8"/>
  <c r="J61" i="8"/>
  <c r="I61" i="8"/>
  <c r="H61" i="8"/>
  <c r="G61" i="8"/>
  <c r="F61" i="8"/>
  <c r="E61" i="8"/>
  <c r="D61" i="8"/>
  <c r="M59" i="8"/>
  <c r="L59" i="8"/>
  <c r="K59" i="8"/>
  <c r="J59" i="8"/>
  <c r="I59" i="8"/>
  <c r="H59" i="8"/>
  <c r="G59" i="8"/>
  <c r="F59" i="8"/>
  <c r="E59" i="8"/>
  <c r="D59" i="8"/>
  <c r="M58" i="8"/>
  <c r="L58" i="8"/>
  <c r="K58" i="8"/>
  <c r="J58" i="8"/>
  <c r="I58" i="8"/>
  <c r="H58" i="8"/>
  <c r="G58" i="8"/>
  <c r="F58" i="8"/>
  <c r="E58" i="8"/>
  <c r="D58" i="8"/>
  <c r="M57" i="8"/>
  <c r="L57" i="8"/>
  <c r="K57" i="8"/>
  <c r="J57" i="8"/>
  <c r="I57" i="8"/>
  <c r="H57" i="8"/>
  <c r="G57" i="8"/>
  <c r="F57" i="8"/>
  <c r="E57" i="8"/>
  <c r="D57" i="8"/>
  <c r="M56" i="8"/>
  <c r="L56" i="8"/>
  <c r="K56" i="8"/>
  <c r="J56" i="8"/>
  <c r="I56" i="8"/>
  <c r="H56" i="8"/>
  <c r="G56" i="8"/>
  <c r="F56" i="8"/>
  <c r="E56" i="8"/>
  <c r="D56" i="8"/>
  <c r="M55" i="8"/>
  <c r="L55" i="8"/>
  <c r="K55" i="8"/>
  <c r="J55" i="8"/>
  <c r="I55" i="8"/>
  <c r="H55" i="8"/>
  <c r="G55" i="8"/>
  <c r="F55" i="8"/>
  <c r="E55" i="8"/>
  <c r="D55" i="8"/>
  <c r="M54" i="8"/>
  <c r="L54" i="8"/>
  <c r="K54" i="8"/>
  <c r="J54" i="8"/>
  <c r="I54" i="8"/>
  <c r="H54" i="8"/>
  <c r="G54" i="8"/>
  <c r="F54" i="8"/>
  <c r="E54" i="8"/>
  <c r="D54" i="8"/>
  <c r="M53" i="8"/>
  <c r="L53" i="8"/>
  <c r="K53" i="8"/>
  <c r="J53" i="8"/>
  <c r="I53" i="8"/>
  <c r="H53" i="8"/>
  <c r="G53" i="8"/>
  <c r="F53" i="8"/>
  <c r="E53" i="8"/>
  <c r="D53" i="8"/>
  <c r="M52" i="8"/>
  <c r="L52" i="8"/>
  <c r="K52" i="8"/>
  <c r="J52" i="8"/>
  <c r="I52" i="8"/>
  <c r="H52" i="8"/>
  <c r="G52" i="8"/>
  <c r="F52" i="8"/>
  <c r="E52" i="8"/>
  <c r="D52" i="8"/>
  <c r="M51" i="8"/>
  <c r="L51" i="8"/>
  <c r="K51" i="8"/>
  <c r="J51" i="8"/>
  <c r="I51" i="8"/>
  <c r="H51" i="8"/>
  <c r="G51" i="8"/>
  <c r="F51" i="8"/>
  <c r="E51" i="8"/>
  <c r="D51" i="8"/>
  <c r="M50" i="8"/>
  <c r="L50" i="8"/>
  <c r="K50" i="8"/>
  <c r="J50" i="8"/>
  <c r="I50" i="8"/>
  <c r="H50" i="8"/>
  <c r="G50" i="8"/>
  <c r="F50" i="8"/>
  <c r="E50" i="8"/>
  <c r="D50" i="8"/>
  <c r="M49" i="8"/>
  <c r="L49" i="8"/>
  <c r="K49" i="8"/>
  <c r="J49" i="8"/>
  <c r="I49" i="8"/>
  <c r="H49" i="8"/>
  <c r="G49" i="8"/>
  <c r="F49" i="8"/>
  <c r="E49" i="8"/>
  <c r="D49" i="8"/>
  <c r="M48" i="8"/>
  <c r="L48" i="8"/>
  <c r="K48" i="8"/>
  <c r="J48" i="8"/>
  <c r="I48" i="8"/>
  <c r="H48" i="8"/>
  <c r="G48" i="8"/>
  <c r="F48" i="8"/>
  <c r="E48" i="8"/>
  <c r="D48" i="8"/>
  <c r="M47" i="8"/>
  <c r="L47" i="8"/>
  <c r="K47" i="8"/>
  <c r="J47" i="8"/>
  <c r="I47" i="8"/>
  <c r="H47" i="8"/>
  <c r="G47" i="8"/>
  <c r="F47" i="8"/>
  <c r="E47" i="8"/>
  <c r="D47" i="8"/>
  <c r="M42" i="8"/>
  <c r="L42" i="8"/>
  <c r="K42" i="8"/>
  <c r="J42" i="8"/>
  <c r="I42" i="8"/>
  <c r="H42" i="8"/>
  <c r="G42" i="8"/>
  <c r="F42" i="8"/>
  <c r="E42" i="8"/>
  <c r="D42" i="8"/>
  <c r="H12" i="1"/>
  <c r="H11" i="1"/>
  <c r="H10" i="1"/>
  <c r="H9" i="1"/>
  <c r="H8" i="1"/>
  <c r="H7" i="1"/>
  <c r="H6" i="1"/>
  <c r="H5" i="1"/>
  <c r="H4" i="1"/>
  <c r="G77" i="8"/>
  <c r="F77" i="8"/>
  <c r="E77" i="8"/>
  <c r="G76" i="8"/>
  <c r="F76" i="8"/>
  <c r="E76" i="8"/>
  <c r="G75" i="8"/>
  <c r="F75" i="8"/>
  <c r="E75" i="8"/>
  <c r="G74" i="8"/>
  <c r="F74" i="8"/>
  <c r="E74" i="8"/>
  <c r="G73" i="8"/>
  <c r="F73" i="8"/>
  <c r="E73" i="8"/>
  <c r="G72" i="8"/>
  <c r="F72" i="8"/>
  <c r="E72" i="8"/>
  <c r="G71" i="8"/>
  <c r="F71" i="8"/>
  <c r="E71" i="8"/>
  <c r="G70" i="8"/>
  <c r="F70" i="8"/>
  <c r="E70" i="8"/>
  <c r="G69" i="8"/>
  <c r="F69" i="8"/>
  <c r="E69" i="8"/>
  <c r="G45" i="8"/>
  <c r="F45" i="8"/>
  <c r="E45" i="8"/>
  <c r="G44" i="8"/>
  <c r="F44" i="8"/>
  <c r="E44" i="8"/>
  <c r="A49" i="6"/>
  <c r="W43" i="8"/>
  <c r="W63" i="8" s="1"/>
  <c r="H44" i="8"/>
  <c r="I44" i="8"/>
  <c r="J44" i="8"/>
  <c r="K44" i="8"/>
  <c r="L44" i="8"/>
  <c r="M44" i="8"/>
  <c r="H45" i="8"/>
  <c r="I45" i="8"/>
  <c r="J45" i="8"/>
  <c r="K45" i="8"/>
  <c r="L45" i="8"/>
  <c r="M45" i="8"/>
  <c r="H69" i="8"/>
  <c r="I69" i="8"/>
  <c r="J69" i="8"/>
  <c r="K69" i="8"/>
  <c r="L69" i="8"/>
  <c r="M69" i="8"/>
  <c r="H70" i="8"/>
  <c r="I70" i="8"/>
  <c r="J70" i="8"/>
  <c r="K70" i="8"/>
  <c r="L70" i="8"/>
  <c r="M70" i="8"/>
  <c r="H71" i="8"/>
  <c r="I71" i="8"/>
  <c r="J71" i="8"/>
  <c r="K71" i="8"/>
  <c r="L71" i="8"/>
  <c r="M71" i="8"/>
  <c r="H72" i="8"/>
  <c r="I72" i="8"/>
  <c r="J72" i="8"/>
  <c r="K72" i="8"/>
  <c r="L72" i="8"/>
  <c r="M72" i="8"/>
  <c r="H73" i="8"/>
  <c r="I73" i="8"/>
  <c r="J73" i="8"/>
  <c r="K73" i="8"/>
  <c r="L73" i="8"/>
  <c r="M73" i="8"/>
  <c r="H74" i="8"/>
  <c r="I74" i="8"/>
  <c r="J74" i="8"/>
  <c r="K74" i="8"/>
  <c r="L74" i="8"/>
  <c r="M74" i="8"/>
  <c r="H75" i="8"/>
  <c r="I75" i="8"/>
  <c r="J75" i="8"/>
  <c r="K75" i="8"/>
  <c r="L75" i="8"/>
  <c r="M75" i="8"/>
  <c r="H76" i="8"/>
  <c r="I76" i="8"/>
  <c r="J76" i="8"/>
  <c r="K76" i="8"/>
  <c r="L76" i="8"/>
  <c r="M76" i="8"/>
  <c r="H77" i="8"/>
  <c r="I77" i="8"/>
  <c r="W77" i="8" s="1"/>
  <c r="L101" i="8" s="1"/>
  <c r="C37" i="1" s="1"/>
  <c r="J77" i="8"/>
  <c r="K77" i="8"/>
  <c r="L77" i="8"/>
  <c r="M77" i="8"/>
  <c r="C19" i="1"/>
  <c r="H3" i="1"/>
  <c r="C9" i="1"/>
  <c r="C35" i="5" s="1"/>
  <c r="C33" i="5"/>
  <c r="D77" i="8"/>
  <c r="D76" i="8"/>
  <c r="D75" i="8"/>
  <c r="D74" i="8"/>
  <c r="D73" i="8"/>
  <c r="D72" i="8"/>
  <c r="D71" i="8"/>
  <c r="D70" i="8"/>
  <c r="D69" i="8"/>
  <c r="D45" i="8"/>
  <c r="D44" i="8"/>
  <c r="C29" i="5"/>
  <c r="C30" i="5"/>
  <c r="B54" i="6"/>
  <c r="B52" i="6"/>
  <c r="W57" i="8"/>
  <c r="B53" i="6"/>
  <c r="W62" i="8"/>
  <c r="W51" i="8" l="1"/>
  <c r="W65" i="8"/>
  <c r="W72" i="8"/>
  <c r="L96" i="8" s="1"/>
  <c r="C32" i="1" s="1"/>
  <c r="W44" i="8"/>
  <c r="L80" i="8" s="1"/>
  <c r="C15" i="1" s="1"/>
  <c r="W73" i="8"/>
  <c r="L97" i="8" s="1"/>
  <c r="C33" i="1" s="1"/>
  <c r="W69" i="8"/>
  <c r="L94" i="8" s="1"/>
  <c r="C30" i="1" s="1"/>
  <c r="W60" i="8"/>
  <c r="W48" i="8"/>
  <c r="W54" i="8"/>
  <c r="W74" i="8"/>
  <c r="L98" i="8" s="1"/>
  <c r="C34" i="1" s="1"/>
  <c r="W70" i="8"/>
  <c r="W71" i="8"/>
  <c r="L95" i="8" s="1"/>
  <c r="C31" i="1" s="1"/>
  <c r="E28" i="2" s="1"/>
  <c r="W76" i="8"/>
  <c r="L100" i="8" s="1"/>
  <c r="C36" i="1" s="1"/>
  <c r="E8" i="2" s="1"/>
  <c r="W45" i="8"/>
  <c r="L81" i="8" s="1"/>
  <c r="C16" i="1" s="1"/>
  <c r="E7" i="2" s="1"/>
  <c r="W75" i="8"/>
  <c r="L99" i="8" s="1"/>
  <c r="C35" i="1" s="1"/>
  <c r="W52" i="8"/>
  <c r="L87" i="8"/>
  <c r="L84" i="8" s="1"/>
  <c r="C22" i="1" s="1"/>
  <c r="C11" i="5" s="1"/>
  <c r="G11" i="5" s="1"/>
  <c r="A5" i="5"/>
  <c r="A51" i="6"/>
  <c r="M17" i="2"/>
  <c r="M19" i="2" s="1"/>
  <c r="K18" i="2"/>
  <c r="C11" i="2" s="1"/>
  <c r="C19" i="5" s="1"/>
  <c r="G19" i="5" s="1"/>
  <c r="K19" i="5" s="1"/>
  <c r="D14" i="6" s="1"/>
  <c r="Q13" i="6" s="1"/>
  <c r="A50" i="6"/>
  <c r="K17" i="2"/>
  <c r="I18" i="2"/>
  <c r="W42" i="8"/>
  <c r="W47" i="8"/>
  <c r="L83" i="8" s="1"/>
  <c r="C21" i="1" s="1"/>
  <c r="W49" i="8"/>
  <c r="W50" i="8"/>
  <c r="W53" i="8"/>
  <c r="L85" i="8" s="1"/>
  <c r="C23" i="1" s="1"/>
  <c r="C12" i="5" s="1"/>
  <c r="G12" i="5" s="1"/>
  <c r="K12" i="5" s="1"/>
  <c r="D18" i="6" s="1"/>
  <c r="Q16" i="6" s="1"/>
  <c r="W55" i="8"/>
  <c r="W56" i="8"/>
  <c r="W58" i="8"/>
  <c r="L89" i="8" s="1"/>
  <c r="C25" i="1" s="1"/>
  <c r="W59" i="8"/>
  <c r="W61" i="8"/>
  <c r="L90" i="8" s="1"/>
  <c r="C26" i="1" s="1"/>
  <c r="W64" i="8"/>
  <c r="L91" i="8" s="1"/>
  <c r="C27" i="1" s="1"/>
  <c r="W66" i="8"/>
  <c r="L92" i="8" s="1"/>
  <c r="C28" i="1" s="1"/>
  <c r="A5" i="6"/>
  <c r="K11" i="5" l="1"/>
  <c r="D20" i="6" s="1"/>
  <c r="Q18" i="6" s="1"/>
  <c r="C15" i="5"/>
  <c r="G15" i="5" s="1"/>
  <c r="K15" i="5" s="1"/>
  <c r="D21" i="6" s="1"/>
  <c r="Q19" i="6" s="1"/>
  <c r="C18" i="5"/>
  <c r="G18" i="5" s="1"/>
  <c r="K18" i="5" s="1"/>
  <c r="D12" i="6" s="1"/>
  <c r="Q11" i="6" s="1"/>
  <c r="L86" i="8"/>
  <c r="L88" i="8"/>
  <c r="C24" i="1" s="1"/>
  <c r="C13" i="5" s="1"/>
  <c r="G13" i="5" s="1"/>
  <c r="K13" i="5" s="1"/>
  <c r="D19" i="6" s="1"/>
  <c r="Q17" i="6" s="1"/>
  <c r="C16" i="5"/>
  <c r="G16" i="5" s="1"/>
  <c r="K16" i="5" s="1"/>
  <c r="D10" i="6" s="1"/>
  <c r="D11" i="6" s="1"/>
  <c r="C14" i="5"/>
  <c r="G14" i="5" s="1"/>
  <c r="K14" i="5" s="1"/>
  <c r="D17" i="6" s="1"/>
  <c r="Q15" i="6" s="1"/>
  <c r="C7" i="6"/>
  <c r="C17" i="5"/>
  <c r="G17" i="5" s="1"/>
  <c r="K17" i="5" s="1"/>
  <c r="D13" i="6" s="1"/>
  <c r="Q12" i="6" s="1"/>
  <c r="Q18" i="2"/>
  <c r="S17" i="2"/>
  <c r="Y13" i="2"/>
  <c r="U17" i="2"/>
  <c r="M18" i="2"/>
  <c r="C13" i="2" s="1"/>
  <c r="C21" i="5" s="1"/>
  <c r="G21" i="5" s="1"/>
  <c r="K21" i="5" s="1"/>
  <c r="Q10" i="6" l="1"/>
  <c r="D22" i="6"/>
  <c r="AE15" i="2"/>
  <c r="AE14" i="2"/>
  <c r="AE13" i="2"/>
  <c r="U19" i="2"/>
  <c r="U18" i="2"/>
  <c r="S19" i="2"/>
  <c r="AB14" i="2"/>
  <c r="AB15" i="2"/>
  <c r="S18" i="2"/>
  <c r="AB13" i="2"/>
  <c r="C12" i="2" l="1"/>
  <c r="C20" i="5" s="1"/>
  <c r="G20" i="5" s="1"/>
  <c r="K20" i="5" s="1"/>
  <c r="K24" i="5" s="1"/>
  <c r="C14" i="2"/>
  <c r="C22" i="5" s="1"/>
  <c r="G22" i="5" s="1"/>
  <c r="K22" i="5" s="1"/>
  <c r="K25" i="5" s="1"/>
  <c r="D15" i="6" l="1"/>
  <c r="D16" i="6" s="1"/>
  <c r="D23" i="6" s="1"/>
  <c r="D24" i="6"/>
  <c r="Q20" i="6" s="1"/>
  <c r="Q14" i="6" l="1"/>
</calcChain>
</file>

<file path=xl/sharedStrings.xml><?xml version="1.0" encoding="utf-8"?>
<sst xmlns="http://schemas.openxmlformats.org/spreadsheetml/2006/main" count="665" uniqueCount="327">
  <si>
    <t>Total DRAM Power Consumed</t>
  </si>
  <si>
    <t>Minimum activate-to-activate timing (different bank)</t>
  </si>
  <si>
    <t>Minimum activate-to-activate timing (Same bank)</t>
  </si>
  <si>
    <t>The percentage of the all bank precharge time for which CKE is held LOW</t>
  </si>
  <si>
    <t>Background power used during active power-down</t>
  </si>
  <si>
    <t>Row 8 is the clock rate the DRAM is operating at. This is one half of the data rate.</t>
  </si>
  <si>
    <t>The percentage of the at least one bank active time for which CKE is held LOW</t>
  </si>
  <si>
    <t>Power Calcs tab</t>
  </si>
  <si>
    <t>Summary tab</t>
  </si>
  <si>
    <t>VCC</t>
  </si>
  <si>
    <t>mW</t>
  </si>
  <si>
    <t>MHz</t>
  </si>
  <si>
    <t>V</t>
  </si>
  <si>
    <t>mA</t>
  </si>
  <si>
    <t>Read Bandwidth</t>
  </si>
  <si>
    <t>Row 15 is the time when all banks are in a precharged state. This is the amount of time when no bank has been activated.</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</si>
  <si>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</si>
  <si>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</si>
  <si>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</si>
  <si>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</si>
  <si>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</si>
  <si>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</si>
  <si>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</si>
  <si>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</si>
  <si>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</si>
  <si>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</si>
  <si>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</si>
  <si>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</si>
  <si>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r>
      <t xml:space="preserve">Usage Conditions tab </t>
    </r>
    <r>
      <rPr>
        <b/>
        <sz val="12"/>
        <color indexed="10"/>
        <rFont val="Arial"/>
        <family val="2"/>
      </rPr>
      <t>(ALL MUST BE ENTERED FOR SPECIFIC SYSTEM)</t>
    </r>
  </si>
  <si>
    <t>The percentage of clock cycles which are terminating write data to another DRAM</t>
  </si>
  <si>
    <t>The percentage of clock cycles which are terminating read data to another DRAM</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</si>
  <si>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</si>
  <si>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</si>
  <si>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</si>
  <si>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</si>
  <si>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</si>
  <si>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</si>
  <si>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</si>
  <si>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</si>
  <si>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</si>
  <si>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</si>
  <si>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</si>
  <si>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</si>
  <si>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</si>
  <si>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</si>
  <si>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</si>
  <si>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</si>
  <si>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</si>
  <si>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</si>
  <si>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</si>
  <si>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</si>
  <si>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</si>
  <si>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</si>
  <si>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</si>
  <si>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</si>
  <si>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</si>
  <si>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</si>
  <si>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</si>
  <si>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</si>
  <si>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</si>
  <si>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Number of DQs per DRAM</t>
  </si>
  <si>
    <t>Values that may be updated are shown in green. This will be dependent on how the system accesses the DRAM.</t>
  </si>
  <si>
    <t>DRAM read power</t>
  </si>
  <si>
    <t>DQ output power</t>
  </si>
  <si>
    <t xml:space="preserve">must be either 4 or 8 </t>
  </si>
  <si>
    <t>Average clocks between colum</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</si>
  <si>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</si>
  <si>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</si>
  <si>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</si>
  <si>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</si>
  <si>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</si>
  <si>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</si>
  <si>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</si>
  <si>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</si>
  <si>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</si>
  <si>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</si>
  <si>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</si>
  <si>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</si>
  <si>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</si>
  <si>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</si>
  <si>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</si>
  <si>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</si>
  <si>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</si>
  <si>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</si>
  <si>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</si>
  <si>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</si>
  <si>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</si>
  <si>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</si>
  <si>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</si>
  <si>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</si>
  <si>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Row 21 is the percentage of clocks that data is read from the DRAM. This would be equal to the average read bandwidth divided by peak read bandwidth.</t>
  </si>
  <si>
    <t xml:space="preserve">Row 22 is the percentage of clocks that data is written to the DRAM. This would be equal to the average read bandwidth divided by peak read bandwidth. </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</si>
  <si>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</si>
  <si>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</si>
  <si>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</si>
  <si>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</si>
  <si>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</si>
  <si>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</si>
  <si>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</si>
  <si>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</si>
  <si>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</si>
  <si>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</si>
  <si>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</si>
  <si>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</si>
  <si>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PD Exit Mode</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</si>
  <si>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</si>
  <si>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</si>
  <si>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</si>
  <si>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</si>
  <si>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</si>
  <si>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</si>
  <si>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</si>
  <si>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</si>
  <si>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</si>
  <si>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</si>
  <si>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</si>
  <si>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</si>
  <si>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</si>
  <si>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</si>
  <si>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</si>
  <si>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</si>
  <si>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</si>
  <si>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</si>
  <si>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</si>
  <si>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</si>
  <si>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</si>
  <si>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</si>
  <si>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</si>
  <si>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</si>
  <si>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</si>
  <si>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</si>
  <si>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</si>
  <si>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</si>
  <si>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</si>
  <si>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</si>
  <si>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</si>
  <si>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</si>
  <si>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TBD</t>
  </si>
  <si>
    <t>All rights reserved.</t>
  </si>
  <si>
    <t>Instructions for Use</t>
  </si>
  <si>
    <t>Row 9 is the burst length programmed in the mode register. (The model does not calculate power if burst interrupt is utilized.)</t>
  </si>
  <si>
    <t>Row 23 is the page hit rate. 0% means there are no page hits (i.e., one read/write per each activate).</t>
  </si>
  <si>
    <t>Row 24 is the percentage of clock cycles the DRAM under investigation is terminating read data from another device. It does not include time when a different DRAM on the bus may be terminating data.</t>
  </si>
  <si>
    <t>Row 25 is the percentage of clock cycles the DRAM under investigation is terminating write data from another device. It does not include time when a different DRAM on the bus may be terminating data.</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</si>
  <si>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</si>
  <si>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active precharge current</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</si>
  <si>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</si>
  <si>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</si>
  <si>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</si>
  <si>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</si>
  <si>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</si>
  <si>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</si>
  <si>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</si>
  <si>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</si>
  <si>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</si>
  <si>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</si>
  <si>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</si>
  <si>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</si>
  <si>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System CK frequency</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</si>
  <si>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</si>
  <si>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</si>
  <si>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</si>
  <si>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</si>
  <si>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</si>
  <si>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1Gb</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</si>
  <si>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</si>
  <si>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</si>
  <si>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</si>
  <si>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</si>
  <si>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</si>
  <si>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</si>
  <si>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</si>
  <si>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</si>
  <si>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I</t>
    </r>
    <r>
      <rPr>
        <sz val="8"/>
        <rFont val="Arial"/>
        <family val="2"/>
      </rPr>
      <t>DD5A</t>
    </r>
  </si>
  <si>
    <r>
      <t>t</t>
    </r>
    <r>
      <rPr>
        <sz val="10"/>
        <rFont val="Arial"/>
        <family val="2"/>
      </rPr>
      <t>CK used for current measurements (see current notes)</t>
    </r>
  </si>
  <si>
    <r>
      <t>t</t>
    </r>
    <r>
      <rPr>
        <sz val="10"/>
        <rFont val="Arial"/>
        <family val="2"/>
      </rPr>
      <t>RRD</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</si>
  <si>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</si>
  <si>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</si>
  <si>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</si>
  <si>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</si>
  <si>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</si>
  <si>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</si>
  <si>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</si>
  <si>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</si>
  <si>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t>IDD0</t>
  </si>
  <si>
    <t>IDD2N</t>
  </si>
  <si>
    <t>IDD3P</t>
  </si>
  <si>
    <t>IDD3N</t>
  </si>
  <si>
    <t>IDD4R</t>
  </si>
  <si>
    <t>IDD4W</t>
  </si>
  <si>
    <t>IDD5A</t>
  </si>
  <si>
    <r>
      <t>t</t>
    </r>
    <r>
      <rPr>
        <sz val="11"/>
        <rFont val="Arial"/>
        <family val="2"/>
      </rPr>
      <t>CK used for current measurements (see current notes)</t>
    </r>
  </si>
  <si>
    <r>
      <t>t</t>
    </r>
    <r>
      <rPr>
        <sz val="11"/>
        <rFont val="Arial"/>
        <family val="2"/>
      </rPr>
      <t>RRD</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</si>
  <si>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</si>
  <si>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</si>
  <si>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</si>
  <si>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</si>
  <si>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</si>
  <si>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</si>
  <si>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</si>
  <si>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</si>
  <si>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</si>
  <si>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t>must be 0% for a 1-rank system</t>
  </si>
  <si>
    <r>
      <t>Power Scaled for Actual System Conditions (DRAM Usage, CK Frequency, and V</t>
    </r>
    <r>
      <rPr>
        <b/>
        <sz val="8"/>
        <color indexed="9"/>
        <rFont val="Arial"/>
        <family val="2"/>
      </rPr>
      <t>CC)</t>
    </r>
  </si>
  <si>
    <t>µs</t>
  </si>
  <si>
    <r>
      <t>t</t>
    </r>
    <r>
      <rPr>
        <sz val="11"/>
        <rFont val="Arial"/>
        <family val="2"/>
      </rPr>
      <t>RRDsch</t>
    </r>
  </si>
  <si>
    <t>-25</t>
  </si>
  <si>
    <t>dramsupport@micron.com</t>
  </si>
  <si>
    <t>2Gb</t>
  </si>
  <si>
    <t>4Gb</t>
  </si>
  <si>
    <t>-187E</t>
  </si>
  <si>
    <t>-187</t>
  </si>
  <si>
    <t>-15E</t>
  </si>
  <si>
    <t>Calculates the power consumed by a DDR3 SDRAM based on system use parameters and the device data sheet.</t>
  </si>
  <si>
    <t>DDR3 Spec tab (ALL MUST BE VERIFIED FOR A SPECIFIC DRAM DATA SHEET)</t>
  </si>
  <si>
    <t>DDR3 Config Spec tab (ALL MUST BE ENTERED TO IDENTIFY DRAM TO BE USED FOR POWER CALCULATION)</t>
  </si>
  <si>
    <t>DDR3 SDRAM Configuration</t>
  </si>
  <si>
    <t>Total DDR3 SDRAM Power</t>
  </si>
  <si>
    <t>Maximum precharge power-down standby current(Slow Exit)</t>
  </si>
  <si>
    <t xml:space="preserve">Maximum active power-down standby current </t>
  </si>
  <si>
    <t>Maximum precharge power-down standby current(Fast Exit)</t>
  </si>
  <si>
    <t>IDD2P(slow)</t>
  </si>
  <si>
    <t>IDD2N(fast)</t>
  </si>
  <si>
    <t>0:Slow</t>
  </si>
  <si>
    <t>1:Fast</t>
  </si>
  <si>
    <t>Mode Register bit 12: Precharge PD Exit Mode</t>
  </si>
  <si>
    <r>
      <t>I</t>
    </r>
    <r>
      <rPr>
        <sz val="9"/>
        <rFont val="Arial"/>
        <family val="2"/>
      </rPr>
      <t>DD</t>
    </r>
    <r>
      <rPr>
        <sz val="11"/>
        <rFont val="Arial"/>
        <family val="2"/>
      </rPr>
      <t>0</t>
    </r>
  </si>
  <si>
    <r>
      <t>I</t>
    </r>
    <r>
      <rPr>
        <sz val="9"/>
        <rFont val="Arial"/>
        <family val="2"/>
      </rPr>
      <t>DD</t>
    </r>
    <r>
      <rPr>
        <sz val="11"/>
        <rFont val="Arial"/>
        <family val="2"/>
      </rPr>
      <t>2P (Slow)</t>
    </r>
  </si>
  <si>
    <r>
      <t>I</t>
    </r>
    <r>
      <rPr>
        <sz val="9"/>
        <rFont val="Arial"/>
        <family val="2"/>
      </rPr>
      <t>DD</t>
    </r>
    <r>
      <rPr>
        <sz val="11"/>
        <rFont val="Arial"/>
        <family val="2"/>
      </rPr>
      <t>2P (Fast)</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</si>
  <si>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</si>
  <si>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</si>
  <si>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</si>
  <si>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</si>
  <si>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</si>
  <si>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I</t>
    </r>
    <r>
      <rPr>
        <sz val="9"/>
        <rFont val="Arial"/>
        <family val="2"/>
      </rPr>
      <t>DD</t>
    </r>
    <r>
      <rPr>
        <sz val="11"/>
        <rFont val="Arial"/>
        <family val="2"/>
      </rPr>
      <t>5A</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</si>
  <si>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</si>
  <si>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</si>
  <si>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</si>
  <si>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</si>
  <si>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</si>
  <si>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</si>
  <si>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</si>
  <si>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</si>
  <si>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Power is calculated after after scaling for V</t>
    </r>
    <r>
      <rPr>
        <sz val="9"/>
        <rFont val="Arial"/>
        <family val="2"/>
      </rPr>
      <t>DD</t>
    </r>
    <r>
      <rPr>
        <sz val="11"/>
        <rFont val="Arial"/>
        <family val="2"/>
      </rPr>
      <t>.  Next, some powers are scaled for frequency effects to derate from test condition to use condition.  Finally, these numbers are scaled for actual system usage. All parameters are calculated and require no user input.</t>
    </r>
  </si>
  <si>
    <t>Copyright © 2007 Micron Semiconductor Products, Inc.</t>
  </si>
  <si>
    <r>
      <t>System V</t>
    </r>
    <r>
      <rPr>
        <sz val="9"/>
        <rFont val="Arial"/>
        <family val="2"/>
      </rPr>
      <t>DD</t>
    </r>
  </si>
  <si>
    <r>
      <t>Enter V</t>
    </r>
    <r>
      <rPr>
        <b/>
        <sz val="8"/>
        <rFont val="Arial"/>
        <family val="2"/>
      </rPr>
      <t>DD</t>
    </r>
    <r>
      <rPr>
        <b/>
        <sz val="10"/>
        <rFont val="Arial"/>
        <family val="2"/>
      </rPr>
      <t xml:space="preserve"> tolerance range in rows 6–7.</t>
    </r>
  </si>
  <si>
    <r>
      <t>Enter I</t>
    </r>
    <r>
      <rPr>
        <b/>
        <sz val="8"/>
        <rFont val="Arial"/>
        <family val="2"/>
      </rPr>
      <t>DD</t>
    </r>
    <r>
      <rPr>
        <b/>
        <sz val="10"/>
        <rFont val="Arial"/>
        <family val="2"/>
      </rPr>
      <t xml:space="preserve"> values for the speed grade under investigation in rows 9–26. Note that there are entries for both x4/x8 devices, as well as x16. Also note the two separate entries for I</t>
    </r>
    <r>
      <rPr>
        <b/>
        <sz val="8"/>
        <rFont val="Arial"/>
        <family val="2"/>
      </rPr>
      <t>DD</t>
    </r>
    <r>
      <rPr>
        <b/>
        <sz val="10"/>
        <rFont val="Arial"/>
        <family val="2"/>
      </rPr>
      <t>3P, depending on the mode register setting.</t>
    </r>
  </si>
  <si>
    <r>
      <t>Timing restrictions in rows 28–36 are entered from the data sheet. These determine the test conditions for the I</t>
    </r>
    <r>
      <rPr>
        <b/>
        <sz val="8"/>
        <rFont val="Arial"/>
        <family val="2"/>
      </rPr>
      <t>DD</t>
    </r>
    <r>
      <rPr>
        <b/>
        <sz val="10"/>
        <rFont val="Arial"/>
        <family val="2"/>
      </rPr>
      <t xml:space="preserve"> values and restrictions of normal device operation.</t>
    </r>
  </si>
  <si>
    <r>
      <t>Row 7 is the actual V</t>
    </r>
    <r>
      <rPr>
        <b/>
        <sz val="8"/>
        <rFont val="Arial"/>
        <family val="2"/>
      </rPr>
      <t>DD</t>
    </r>
    <r>
      <rPr>
        <b/>
        <sz val="10"/>
        <rFont val="Arial"/>
        <family val="2"/>
      </rPr>
      <t xml:space="preserve"> the system is operating at. It is usually set to nominal conditions.</t>
    </r>
  </si>
  <si>
    <t>Row 7 selects which DRAM density.</t>
  </si>
  <si>
    <t>Row 9 selects the starting speed grade.</t>
  </si>
  <si>
    <t>Row 8 selects the number of DQs.</t>
  </si>
  <si>
    <t>Row 12 selects whether fast or slow exit is used for power-down exit.</t>
  </si>
  <si>
    <r>
      <t>Row 16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2F.</t>
    </r>
  </si>
  <si>
    <r>
      <t>Row 17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</si>
  <si>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Row 19 is the average time between ACT commands to the DRAM.  Under I</t>
    </r>
    <r>
      <rPr>
        <b/>
        <sz val="8"/>
        <rFont val="Arial"/>
        <family val="2"/>
      </rPr>
      <t>DD</t>
    </r>
    <r>
      <rPr>
        <b/>
        <sz val="10"/>
        <rFont val="Arial"/>
        <family val="2"/>
      </rPr>
      <t>0 or I</t>
    </r>
    <r>
      <rPr>
        <b/>
        <sz val="8"/>
        <rFont val="Arial"/>
        <family val="2"/>
      </rPr>
      <t>DD</t>
    </r>
    <r>
      <rPr>
        <b/>
        <sz val="10"/>
        <rFont val="Arial"/>
        <family val="2"/>
      </rPr>
      <t xml:space="preserve">1 conditions,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</si>
  <si>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No inputs are required for this tab. It contains a summary of the power used by the DRAM. The power is broken out between:
  — Power to read/write data to and from the DRAM
  — Power to activate the rows
  — Background power for standby modes and refresh</t>
  </si>
  <si>
    <r>
      <t>I</t>
    </r>
    <r>
      <rPr>
        <sz val="9"/>
        <rFont val="Arial"/>
        <family val="2"/>
      </rPr>
      <t>DD</t>
    </r>
    <r>
      <rPr>
        <sz val="11"/>
        <rFont val="Arial"/>
        <family val="2"/>
      </rPr>
      <t>5B</t>
    </r>
  </si>
  <si>
    <t xml:space="preserve"> </t>
  </si>
  <si>
    <t>-125</t>
  </si>
  <si>
    <t>-125E</t>
  </si>
  <si>
    <t>-107</t>
  </si>
  <si>
    <t>-107E</t>
  </si>
  <si>
    <t>-093</t>
  </si>
  <si>
    <t>-093E</t>
  </si>
  <si>
    <t xml:space="preserve"> na</t>
  </si>
  <si>
    <t>error</t>
  </si>
  <si>
    <t>Rz1=</t>
  </si>
  <si>
    <t>Rs1=</t>
  </si>
  <si>
    <t>RTTuC=</t>
  </si>
  <si>
    <t>RTTdC=</t>
  </si>
  <si>
    <t>RTTu2=</t>
  </si>
  <si>
    <t>RTTd2=</t>
  </si>
  <si>
    <t>RzC=</t>
  </si>
  <si>
    <t>RTTd1=</t>
  </si>
  <si>
    <t>RTTu1=</t>
  </si>
  <si>
    <t>RTTC =   (mW)</t>
  </si>
  <si>
    <t>Rz =   (mW)</t>
  </si>
  <si>
    <t>VDDq=</t>
  </si>
  <si>
    <t>Rs1 =   (mW)</t>
  </si>
  <si>
    <t>Rs2=   (mW)</t>
  </si>
  <si>
    <t>Rs2=</t>
  </si>
  <si>
    <t>Rs1=   (mW)</t>
  </si>
  <si>
    <t>RTTd2 =   (mW)</t>
  </si>
  <si>
    <t>RTTd1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</si>
  <si>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</si>
  <si>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</si>
  <si>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</si>
  <si>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</si>
  <si>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</si>
  <si>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</si>
  <si>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</si>
  <si>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</si>
  <si>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This value is the DRAM I/O power plus module series resistor power per DQ.   The calculator to the right will estimate and populate the entries to the left</t>
  </si>
  <si>
    <r>
      <t xml:space="preserve">DDR3 SDRAM termination power per individual DQ during </t>
    </r>
    <r>
      <rPr>
        <sz val="11"/>
        <color indexed="10"/>
        <rFont val="Arial"/>
        <family val="2"/>
      </rPr>
      <t>WRITE</t>
    </r>
    <r>
      <rPr>
        <sz val="11"/>
        <rFont val="Arial"/>
        <family val="2"/>
      </rPr>
      <t>s to this DRAM</t>
    </r>
  </si>
  <si>
    <r>
      <t>DDR3 SDRAM output power per individual DQ on this DRAM during</t>
    </r>
    <r>
      <rPr>
        <sz val="11"/>
        <color indexed="10"/>
        <rFont val="Arial"/>
        <family val="2"/>
      </rPr>
      <t xml:space="preserve"> READ</t>
    </r>
    <r>
      <rPr>
        <sz val="11"/>
        <color indexed="8"/>
        <rFont val="Arial"/>
        <family val="2"/>
      </rPr>
      <t>s from this DRAM</t>
    </r>
  </si>
  <si>
    <r>
      <t xml:space="preserve">DDR3 SDRAM termination power per individual DQ during </t>
    </r>
    <r>
      <rPr>
        <sz val="11"/>
        <color indexed="10"/>
        <rFont val="Arial"/>
        <family val="2"/>
      </rPr>
      <t>READ</t>
    </r>
    <r>
      <rPr>
        <sz val="11"/>
        <rFont val="Arial"/>
        <family val="2"/>
      </rPr>
      <t>s from other DRAM</t>
    </r>
  </si>
  <si>
    <r>
      <t xml:space="preserve">DDR3 SDRAM termination power per individual DQ during </t>
    </r>
    <r>
      <rPr>
        <sz val="11"/>
        <color indexed="10"/>
        <rFont val="Arial"/>
        <family val="2"/>
      </rPr>
      <t>WRITE</t>
    </r>
    <r>
      <rPr>
        <sz val="11"/>
        <rFont val="Arial"/>
        <family val="2"/>
      </rPr>
      <t>s to other DRAM</t>
    </r>
  </si>
  <si>
    <t>Enter values in dark green boxes below</t>
  </si>
  <si>
    <t>Calculated values in light green boxes below</t>
  </si>
  <si>
    <t>READ  I/O  Power</t>
  </si>
  <si>
    <t>WRITE  I/O  Power</t>
  </si>
  <si>
    <t>ratio of reads to writes</t>
  </si>
  <si>
    <t>The above is calculated from page hit rate read/write bus utilization. No entry is necessary.</t>
  </si>
  <si>
    <r>
      <t>Row 10</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</si>
  <si>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11</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</si>
  <si>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r>
      <t>Row 12</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t>
    </r>
    <r>
      <rPr>
        <b/>
        <sz val="10"/>
        <color indexed="8"/>
        <rFont val="Arial"/>
        <family val="2"/>
      </rPr>
      <t xml:space="preserve"> (two or more loads). </t>
    </r>
  </si>
  <si>
    <r>
      <t>Row 13</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</si>
  <si>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</si>
  <si>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t xml:space="preserve">                                         Do Not Go Below This Box                                                            Do Not Go Below This Box                                                           Do Not Go Below This Box                                                           Do Not Go Below This Box                                                             Do Not Go Below This Box                                                           Do Not Go Below This Box                                                           Do Not Go Below This Box                                                           Do Not Go Below This Box                  </t>
  </si>
  <si>
    <t>Power Based on Data Sheet Test Conditions and Maximum Limits</t>
  </si>
  <si>
    <t>2nd rank DRAM Power Consumed</t>
  </si>
  <si>
    <t>PRE_PDN</t>
  </si>
  <si>
    <t>PRE_STBY</t>
  </si>
  <si>
    <t>ACT_PDN</t>
  </si>
  <si>
    <t>Psys Power Consumption Summary</t>
  </si>
  <si>
    <t>ACT_STBY</t>
  </si>
  <si>
    <t>REF</t>
  </si>
  <si>
    <t>ACT</t>
  </si>
  <si>
    <t>WR</t>
  </si>
  <si>
    <t>RD</t>
  </si>
  <si>
    <t>READ I/O</t>
  </si>
  <si>
    <t>Write ODT</t>
  </si>
  <si>
    <t>TERM 2nd rank</t>
  </si>
  <si>
    <t>Calculated values in light green.</t>
  </si>
  <si>
    <t>DDR3_Power_Calc.XLSM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</si>
</sst>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_);_(* \(#,##0.00\);_(* &quot;-&quot;??_);_(@_)"/>
    <numFmt numFmtId="165" formatCode="0.0"/>
    <numFmt numFmtId="166" formatCode="mmmm\ d\,\ yyyy"/>
    <numFmt numFmtId="167" formatCode="_(* #,##0.0_);_(* \(#,##0.0\);_(* &quot;-&quot;??_);_(@_)"/>
    <numFmt numFmtId="168" formatCode="_(* #,##0_);_(* \(#,##0\);_(* &quot;-&quot;??_);_(@_)"/>
    <numFmt numFmtId="169" formatCode="0.000"/>
  </numFmts>
  <fonts count="48">
    <font>
      <sz val="10"/>
      <name val="Arial"/>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b/>
      <sz val="9"/>
      <color indexed="9"/>
      <name val="Arial"/>
      <family val="2"/>
    </font>
    <font>
      <sz val="12"/>
      <name val="Arial"/>
      <family val="2"/>
    </font>
    <font>
      <b/>
      <i/>
      <sz val="10"/>
      <color indexed="8"/>
      <name val="Arial"/>
      <family val="2"/>
    </font>
    <font>
      <sz val="10"/>
      <color theme="0"/>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s>
  <fills count="22">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s>
  <borders count="4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s>
  <cellStyleXfs count="4">
    <xf numFmtId="0" fontId="0" fillId="0" borderId="0"/>
    <xf numFmtId="164" fontId="1" fillId="0" borderId="0" applyFont="0" applyFill="0" applyBorder="0" applyAlignment="0" applyProtection="0"/>
    <xf numFmtId="0" fontId="8" fillId="0" borderId="0" applyNumberFormat="0" applyFill="0" applyBorder="0" applyAlignment="0" applyProtection="0">
      <alignment vertical="top"/>
      <protection locked="0"/>
    </xf>
    <xf numFmtId="9" fontId="1" fillId="0" borderId="0" applyFont="0" applyFill="0" applyBorder="0" applyAlignment="0" applyProtection="0"/>
  </cellStyleXfs>
  <cellXfs count="301">
    <xf numFmtId="0" fontId="0" fillId="0" borderId="0" xfId="0"/>
    <xf numFmtId="0" fontId="0" fillId="0" borderId="0" xfId="0" quotePrefix="1"/>
    <xf numFmtId="0" fontId="0" fillId="0" borderId="0" xfId="0" applyBorder="1"/>
    <xf numFmtId="0" fontId="0" fillId="0" borderId="0" xfId="0" applyAlignment="1">
      <alignment vertical="top"/>
    </xf>
    <xf numFmtId="0" fontId="0" fillId="0" borderId="0" xfId="0" applyAlignment="1"/>
    <xf numFmtId="0" fontId="2" fillId="0" borderId="0" xfId="0" applyFont="1" applyAlignment="1"/>
    <xf numFmtId="0" fontId="4" fillId="0" borderId="0" xfId="0" applyFont="1" applyAlignment="1">
      <alignment horizontal="center" vertical="center" wrapText="1"/>
    </xf>
    <xf numFmtId="0" fontId="5" fillId="0" borderId="1" xfId="0" applyFont="1" applyBorder="1"/>
    <xf numFmtId="0" fontId="5" fillId="0" borderId="2" xfId="0" applyFont="1" applyBorder="1"/>
    <xf numFmtId="0" fontId="6" fillId="0" borderId="3" xfId="0" applyFont="1" applyBorder="1" applyAlignment="1">
      <alignment vertical="top"/>
    </xf>
    <xf numFmtId="0" fontId="6" fillId="0" borderId="4" xfId="0" applyFont="1" applyBorder="1" applyAlignment="1">
      <alignment vertical="top"/>
    </xf>
    <xf numFmtId="0" fontId="5" fillId="0" borderId="5" xfId="0" applyFont="1" applyBorder="1" applyAlignment="1">
      <alignment vertical="top" wrapText="1"/>
    </xf>
    <xf numFmtId="0" fontId="6" fillId="0" borderId="6" xfId="0" applyFont="1" applyBorder="1" applyAlignment="1">
      <alignment vertical="top"/>
    </xf>
    <xf numFmtId="0" fontId="6" fillId="0" borderId="0" xfId="0" applyFont="1" applyBorder="1" applyAlignment="1">
      <alignment vertical="top"/>
    </xf>
    <xf numFmtId="166" fontId="5" fillId="0" borderId="7" xfId="0" applyNumberFormat="1" applyFont="1" applyBorder="1" applyAlignment="1">
      <alignment horizontal="left" vertical="top" wrapText="1"/>
    </xf>
    <xf numFmtId="0" fontId="5" fillId="0" borderId="7" xfId="0" applyFont="1" applyBorder="1" applyAlignment="1">
      <alignment vertical="top" wrapText="1"/>
    </xf>
    <xf numFmtId="0" fontId="6" fillId="0" borderId="8" xfId="0" applyFont="1" applyBorder="1" applyAlignment="1">
      <alignment vertical="top"/>
    </xf>
    <xf numFmtId="0" fontId="5" fillId="0" borderId="9" xfId="0" applyFont="1" applyBorder="1" applyAlignment="1">
      <alignment vertical="top" wrapText="1"/>
    </xf>
    <xf numFmtId="0" fontId="5" fillId="0" borderId="0" xfId="0" applyFont="1"/>
    <xf numFmtId="0" fontId="5" fillId="0" borderId="0" xfId="0" quotePrefix="1" applyFont="1" applyAlignment="1">
      <alignment horizontal="center"/>
    </xf>
    <xf numFmtId="0" fontId="5" fillId="0" borderId="0" xfId="0" applyFont="1" applyAlignment="1"/>
    <xf numFmtId="0" fontId="6" fillId="0" borderId="10" xfId="0" applyFont="1" applyBorder="1" applyAlignment="1">
      <alignment vertical="top"/>
    </xf>
    <xf numFmtId="0" fontId="2" fillId="0" borderId="0" xfId="0" applyFont="1"/>
    <xf numFmtId="0" fontId="2" fillId="0" borderId="0" xfId="0" applyFont="1" applyAlignment="1">
      <alignment horizontal="left" vertical="top" wrapText="1"/>
    </xf>
    <xf numFmtId="0" fontId="9" fillId="0" borderId="0" xfId="0" applyFont="1"/>
    <xf numFmtId="0" fontId="2" fillId="0" borderId="0" xfId="0" applyFont="1" applyAlignment="1">
      <alignment wrapText="1"/>
    </xf>
    <xf numFmtId="0" fontId="5" fillId="0" borderId="11" xfId="0" applyFont="1" applyBorder="1"/>
    <xf numFmtId="0" fontId="5" fillId="0" borderId="0" xfId="0" applyFont="1" applyFill="1" applyBorder="1"/>
    <xf numFmtId="0" fontId="12" fillId="0" borderId="0" xfId="0" applyFont="1"/>
    <xf numFmtId="0" fontId="12" fillId="0" borderId="0" xfId="0" applyFont="1" applyAlignment="1">
      <alignment vertical="top"/>
    </xf>
    <xf numFmtId="0" fontId="6" fillId="0" borderId="0" xfId="0" applyFont="1" applyAlignment="1">
      <alignment vertical="top"/>
    </xf>
    <xf numFmtId="0" fontId="6" fillId="0" borderId="0" xfId="0" applyFont="1" applyAlignment="1">
      <alignment horizontal="center" vertical="top"/>
    </xf>
    <xf numFmtId="0" fontId="0" fillId="0" borderId="12" xfId="0" applyBorder="1"/>
    <xf numFmtId="0" fontId="0" fillId="0" borderId="0" xfId="0" applyAlignment="1">
      <alignment vertical="top" wrapText="1"/>
    </xf>
    <xf numFmtId="0" fontId="0" fillId="0" borderId="0" xfId="0" applyAlignment="1">
      <alignment horizontal="center"/>
    </xf>
    <xf numFmtId="0" fontId="0" fillId="0" borderId="0" xfId="0" applyFill="1"/>
    <xf numFmtId="0" fontId="7" fillId="2" borderId="12" xfId="0" quotePrefix="1" applyFont="1" applyFill="1" applyBorder="1" applyAlignment="1">
      <alignment horizontal="right"/>
    </xf>
    <xf numFmtId="0" fontId="7" fillId="2" borderId="13" xfId="0" applyFont="1" applyFill="1" applyBorder="1" applyAlignment="1">
      <alignment horizontal="right"/>
    </xf>
    <xf numFmtId="0" fontId="0" fillId="0" borderId="14" xfId="0" applyBorder="1"/>
    <xf numFmtId="0" fontId="5" fillId="0" borderId="4" xfId="0" applyFont="1" applyBorder="1"/>
    <xf numFmtId="0" fontId="0" fillId="0" borderId="4" xfId="0" applyBorder="1"/>
    <xf numFmtId="0" fontId="17" fillId="0" borderId="0" xfId="0" applyFont="1"/>
    <xf numFmtId="0" fontId="18"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6" fillId="0" borderId="12" xfId="0" applyFont="1" applyFill="1" applyBorder="1" applyAlignment="1">
      <alignment horizontal="center" vertical="center"/>
    </xf>
    <xf numFmtId="0" fontId="14" fillId="0" borderId="0" xfId="0" applyFont="1" applyFill="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0" borderId="0" xfId="0" applyFont="1" applyAlignment="1">
      <alignment horizontal="center" vertical="center"/>
    </xf>
    <xf numFmtId="0" fontId="2" fillId="0" borderId="0" xfId="0" applyFont="1" applyAlignment="1">
      <alignment vertical="center"/>
    </xf>
    <xf numFmtId="165" fontId="0" fillId="0" borderId="0" xfId="0" applyNumberFormat="1" applyBorder="1"/>
    <xf numFmtId="167" fontId="0" fillId="0" borderId="0" xfId="1" applyNumberFormat="1" applyFont="1" applyBorder="1"/>
    <xf numFmtId="168" fontId="0" fillId="0" borderId="0" xfId="1" applyNumberFormat="1" applyFont="1" applyBorder="1"/>
    <xf numFmtId="0" fontId="0" fillId="0" borderId="0" xfId="1" applyNumberFormat="1" applyFont="1" applyBorder="1"/>
    <xf numFmtId="0" fontId="22" fillId="0" borderId="0" xfId="0" applyFont="1"/>
    <xf numFmtId="0" fontId="24" fillId="0" borderId="0" xfId="0" applyFont="1" applyAlignment="1">
      <alignment vertical="center"/>
    </xf>
    <xf numFmtId="0" fontId="4" fillId="0" borderId="15" xfId="0" applyFont="1" applyBorder="1" applyAlignment="1">
      <alignment vertical="center"/>
    </xf>
    <xf numFmtId="0" fontId="4" fillId="0" borderId="12" xfId="0" applyFont="1" applyBorder="1" applyAlignment="1">
      <alignment vertical="center"/>
    </xf>
    <xf numFmtId="165" fontId="4" fillId="0" borderId="12" xfId="0" applyNumberFormat="1" applyFont="1" applyBorder="1" applyAlignment="1">
      <alignment vertical="center"/>
    </xf>
    <xf numFmtId="0" fontId="25" fillId="0" borderId="15" xfId="0" applyFont="1" applyBorder="1" applyAlignment="1">
      <alignment vertical="center"/>
    </xf>
    <xf numFmtId="0" fontId="25" fillId="0" borderId="12" xfId="0" applyFont="1" applyBorder="1" applyAlignment="1">
      <alignment vertical="center"/>
    </xf>
    <xf numFmtId="0" fontId="4" fillId="0" borderId="0" xfId="0" applyFont="1" applyAlignment="1">
      <alignment horizontal="center" vertical="center"/>
    </xf>
    <xf numFmtId="0" fontId="29" fillId="0" borderId="12" xfId="0" applyFont="1" applyBorder="1" applyAlignment="1">
      <alignment vertical="center"/>
    </xf>
    <xf numFmtId="0" fontId="4" fillId="0" borderId="0" xfId="0" applyFont="1" applyAlignment="1">
      <alignment vertical="center"/>
    </xf>
    <xf numFmtId="0" fontId="4" fillId="0" borderId="0" xfId="0" applyFont="1" applyAlignment="1">
      <alignment vertical="center" wrapText="1"/>
    </xf>
    <xf numFmtId="0" fontId="2" fillId="3" borderId="16" xfId="0" applyFont="1" applyFill="1" applyBorder="1" applyAlignment="1">
      <alignment vertical="center"/>
    </xf>
    <xf numFmtId="0" fontId="2" fillId="3" borderId="13" xfId="0" applyFont="1" applyFill="1" applyBorder="1" applyAlignment="1">
      <alignment vertical="center"/>
    </xf>
    <xf numFmtId="0" fontId="29" fillId="0" borderId="15" xfId="0" applyFont="1" applyBorder="1" applyAlignment="1">
      <alignment vertical="center"/>
    </xf>
    <xf numFmtId="0" fontId="4" fillId="0" borderId="17" xfId="0" applyFont="1" applyBorder="1" applyAlignment="1">
      <alignment vertical="center"/>
    </xf>
    <xf numFmtId="0" fontId="4" fillId="0" borderId="18" xfId="0" applyFont="1" applyBorder="1" applyAlignment="1">
      <alignment vertical="center"/>
    </xf>
    <xf numFmtId="0" fontId="26" fillId="4" borderId="12" xfId="0" applyFont="1" applyFill="1" applyBorder="1" applyAlignment="1">
      <alignment vertical="center"/>
    </xf>
    <xf numFmtId="0" fontId="26" fillId="4" borderId="12" xfId="0" applyFont="1" applyFill="1" applyBorder="1" applyAlignment="1">
      <alignment vertical="center" wrapText="1"/>
    </xf>
    <xf numFmtId="0" fontId="26" fillId="4" borderId="12" xfId="0" quotePrefix="1" applyFont="1" applyFill="1" applyBorder="1" applyAlignment="1">
      <alignment horizontal="center" vertical="center"/>
    </xf>
    <xf numFmtId="0" fontId="26" fillId="0" borderId="0" xfId="0" applyFont="1" applyAlignment="1">
      <alignment horizontal="center" vertical="center"/>
    </xf>
    <xf numFmtId="0" fontId="26" fillId="5" borderId="12" xfId="0" quotePrefix="1" applyFont="1" applyFill="1" applyBorder="1" applyAlignment="1">
      <alignment horizontal="center" vertical="center"/>
    </xf>
    <xf numFmtId="0" fontId="25" fillId="0" borderId="0" xfId="0" applyFont="1" applyAlignment="1">
      <alignment horizontal="center" vertical="center"/>
    </xf>
    <xf numFmtId="0" fontId="26" fillId="0" borderId="12" xfId="0" quotePrefix="1" applyFont="1" applyFill="1" applyBorder="1" applyAlignment="1">
      <alignment horizontal="center" vertical="center"/>
    </xf>
    <xf numFmtId="0" fontId="25" fillId="6" borderId="12" xfId="0" applyFont="1" applyFill="1" applyBorder="1" applyAlignment="1">
      <alignment vertical="center"/>
    </xf>
    <xf numFmtId="0" fontId="26" fillId="5" borderId="12" xfId="0" applyFont="1" applyFill="1" applyBorder="1" applyAlignment="1">
      <alignment horizontal="center" vertical="center"/>
    </xf>
    <xf numFmtId="0" fontId="27" fillId="0" borderId="0" xfId="0" applyFont="1" applyAlignment="1">
      <alignment horizontal="center" vertical="center"/>
    </xf>
    <xf numFmtId="0" fontId="27" fillId="0" borderId="0" xfId="0" applyFont="1" applyFill="1" applyAlignment="1">
      <alignment horizontal="center" vertical="center"/>
    </xf>
    <xf numFmtId="0" fontId="26" fillId="0" borderId="12" xfId="0" applyFont="1" applyFill="1" applyBorder="1" applyAlignment="1">
      <alignment horizontal="center" vertical="center"/>
    </xf>
    <xf numFmtId="0" fontId="27" fillId="0" borderId="12" xfId="0" applyFont="1" applyBorder="1" applyAlignment="1">
      <alignment horizontal="center" vertical="center"/>
    </xf>
    <xf numFmtId="0" fontId="30" fillId="0" borderId="12" xfId="0" applyFont="1" applyBorder="1" applyAlignment="1">
      <alignment vertical="center"/>
    </xf>
    <xf numFmtId="0" fontId="25" fillId="0" borderId="16" xfId="0" applyFont="1" applyBorder="1"/>
    <xf numFmtId="0" fontId="25" fillId="0" borderId="15" xfId="0" applyFont="1" applyBorder="1"/>
    <xf numFmtId="0" fontId="25" fillId="0" borderId="19" xfId="0" applyFont="1" applyFill="1" applyBorder="1"/>
    <xf numFmtId="0" fontId="26" fillId="4" borderId="16" xfId="0" applyFont="1" applyFill="1" applyBorder="1" applyAlignment="1">
      <alignment vertical="center"/>
    </xf>
    <xf numFmtId="0" fontId="26" fillId="4" borderId="13" xfId="0" applyFont="1" applyFill="1" applyBorder="1" applyAlignment="1">
      <alignment vertical="center"/>
    </xf>
    <xf numFmtId="0" fontId="26" fillId="4" borderId="13" xfId="0" applyFont="1" applyFill="1" applyBorder="1" applyAlignment="1">
      <alignment horizontal="center" vertical="center"/>
    </xf>
    <xf numFmtId="0" fontId="26" fillId="4" borderId="1" xfId="0" applyFont="1" applyFill="1" applyBorder="1" applyAlignment="1">
      <alignment vertical="center"/>
    </xf>
    <xf numFmtId="0" fontId="31" fillId="0" borderId="12" xfId="0" quotePrefix="1" applyFont="1" applyFill="1" applyBorder="1" applyAlignment="1">
      <alignment horizontal="center" vertical="center"/>
    </xf>
    <xf numFmtId="0" fontId="31" fillId="0" borderId="12" xfId="0" applyFont="1" applyBorder="1" applyAlignment="1">
      <alignment horizontal="center" vertical="center"/>
    </xf>
    <xf numFmtId="0" fontId="31" fillId="0" borderId="12" xfId="0" applyFont="1" applyFill="1" applyBorder="1" applyAlignment="1">
      <alignment horizontal="center" vertical="center"/>
    </xf>
    <xf numFmtId="0" fontId="30" fillId="0" borderId="15" xfId="0" applyFont="1" applyBorder="1" applyAlignment="1">
      <alignment vertical="center"/>
    </xf>
    <xf numFmtId="0" fontId="30" fillId="0" borderId="17" xfId="0" applyFont="1" applyBorder="1" applyAlignment="1">
      <alignment vertical="center"/>
    </xf>
    <xf numFmtId="0" fontId="25" fillId="0" borderId="18" xfId="0" applyFont="1" applyBorder="1" applyAlignment="1">
      <alignment vertical="center"/>
    </xf>
    <xf numFmtId="0" fontId="31" fillId="0" borderId="18" xfId="0" quotePrefix="1" applyFont="1" applyFill="1" applyBorder="1" applyAlignment="1">
      <alignment horizontal="center" vertical="center"/>
    </xf>
    <xf numFmtId="0" fontId="25" fillId="0" borderId="2" xfId="0" applyFont="1" applyBorder="1" applyAlignment="1">
      <alignment horizontal="center" vertical="center"/>
    </xf>
    <xf numFmtId="0" fontId="25" fillId="0" borderId="20" xfId="0" applyFont="1" applyBorder="1" applyAlignment="1">
      <alignment horizontal="center" vertical="center"/>
    </xf>
    <xf numFmtId="0" fontId="25" fillId="0" borderId="16" xfId="0" applyFont="1" applyBorder="1" applyAlignment="1">
      <alignment vertical="top" wrapText="1"/>
    </xf>
    <xf numFmtId="0" fontId="26" fillId="5" borderId="13" xfId="0" quotePrefix="1" applyFont="1" applyFill="1" applyBorder="1" applyAlignment="1">
      <alignment horizontal="center" vertical="top"/>
    </xf>
    <xf numFmtId="0" fontId="25" fillId="0" borderId="13" xfId="0" applyFont="1" applyBorder="1" applyAlignment="1">
      <alignment horizontal="center" vertical="top"/>
    </xf>
    <xf numFmtId="0" fontId="32" fillId="0" borderId="1" xfId="0" applyFont="1" applyBorder="1" applyAlignment="1">
      <alignment vertical="top"/>
    </xf>
    <xf numFmtId="0" fontId="25" fillId="0" borderId="0" xfId="0" applyFont="1" applyAlignment="1">
      <alignment vertical="top" wrapText="1"/>
    </xf>
    <xf numFmtId="0" fontId="25" fillId="0" borderId="15" xfId="0" applyFont="1" applyBorder="1" applyAlignment="1">
      <alignment vertical="top" wrapText="1"/>
    </xf>
    <xf numFmtId="0" fontId="26" fillId="5" borderId="12" xfId="0" applyFont="1" applyFill="1" applyBorder="1" applyAlignment="1">
      <alignment horizontal="center" vertical="top"/>
    </xf>
    <xf numFmtId="0" fontId="25" fillId="0" borderId="12" xfId="0" applyFont="1" applyBorder="1" applyAlignment="1">
      <alignment horizontal="center" vertical="top"/>
    </xf>
    <xf numFmtId="0" fontId="32" fillId="0" borderId="2" xfId="0" applyFont="1" applyBorder="1" applyAlignment="1">
      <alignment vertical="top"/>
    </xf>
    <xf numFmtId="0" fontId="31" fillId="0" borderId="2" xfId="0" applyFont="1" applyBorder="1" applyAlignment="1">
      <alignment vertical="top"/>
    </xf>
    <xf numFmtId="0" fontId="26" fillId="0" borderId="12" xfId="0" applyFont="1" applyFill="1" applyBorder="1" applyAlignment="1">
      <alignment horizontal="center" vertical="top"/>
    </xf>
    <xf numFmtId="0" fontId="25" fillId="0" borderId="21" xfId="0" applyFont="1" applyBorder="1" applyAlignment="1">
      <alignment vertical="top" wrapText="1"/>
    </xf>
    <xf numFmtId="0" fontId="25" fillId="0" borderId="2" xfId="0" applyFont="1" applyBorder="1" applyAlignment="1">
      <alignment vertical="top" wrapText="1"/>
    </xf>
    <xf numFmtId="0" fontId="24" fillId="0" borderId="12" xfId="0" applyFont="1" applyBorder="1" applyAlignment="1">
      <alignment horizontal="center" vertical="top"/>
    </xf>
    <xf numFmtId="0" fontId="25" fillId="0" borderId="2" xfId="0" applyFont="1" applyBorder="1" applyAlignment="1">
      <alignment vertical="top"/>
    </xf>
    <xf numFmtId="9" fontId="26" fillId="5" borderId="12" xfId="3" applyFont="1" applyFill="1" applyBorder="1" applyAlignment="1">
      <alignment horizontal="center" vertical="top"/>
    </xf>
    <xf numFmtId="9" fontId="26" fillId="0" borderId="12" xfId="3" applyFont="1" applyFill="1" applyBorder="1" applyAlignment="1">
      <alignment horizontal="center" vertical="top"/>
    </xf>
    <xf numFmtId="0" fontId="25" fillId="0" borderId="0" xfId="0" applyFont="1" applyBorder="1" applyAlignment="1">
      <alignment vertical="top"/>
    </xf>
    <xf numFmtId="9" fontId="25" fillId="0" borderId="12" xfId="3" applyFont="1" applyBorder="1" applyAlignment="1">
      <alignment horizontal="center" vertical="top"/>
    </xf>
    <xf numFmtId="0" fontId="25" fillId="0" borderId="22" xfId="0" applyFont="1" applyBorder="1" applyAlignment="1">
      <alignment vertical="top" wrapText="1"/>
    </xf>
    <xf numFmtId="165" fontId="31" fillId="7" borderId="18" xfId="0" applyNumberFormat="1" applyFont="1" applyFill="1" applyBorder="1" applyAlignment="1">
      <alignment horizontal="center" vertical="top"/>
    </xf>
    <xf numFmtId="0" fontId="25" fillId="0" borderId="18" xfId="0" applyFont="1" applyBorder="1" applyAlignment="1">
      <alignment horizontal="center" vertical="top"/>
    </xf>
    <xf numFmtId="0" fontId="24" fillId="0" borderId="0" xfId="0" applyFont="1" applyAlignment="1">
      <alignment vertical="top"/>
    </xf>
    <xf numFmtId="0" fontId="24" fillId="0" borderId="0" xfId="0" applyFont="1" applyAlignment="1">
      <alignment horizontal="center" vertical="top"/>
    </xf>
    <xf numFmtId="0" fontId="24" fillId="0" borderId="0" xfId="0" applyFont="1" applyAlignment="1">
      <alignment vertical="top" wrapText="1"/>
    </xf>
    <xf numFmtId="0" fontId="25" fillId="0" borderId="23" xfId="0" applyFont="1" applyBorder="1" applyAlignment="1">
      <alignment vertical="top"/>
    </xf>
    <xf numFmtId="0" fontId="25" fillId="0" borderId="24" xfId="0" applyFont="1" applyBorder="1" applyAlignment="1">
      <alignment vertical="top"/>
    </xf>
    <xf numFmtId="0" fontId="2" fillId="0" borderId="3"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4" fillId="0" borderId="23" xfId="0" applyFont="1" applyBorder="1" applyAlignment="1">
      <alignment vertical="center" wrapText="1"/>
    </xf>
    <xf numFmtId="0" fontId="4" fillId="0" borderId="0" xfId="0" applyFont="1" applyBorder="1" applyAlignment="1">
      <alignment vertical="center"/>
    </xf>
    <xf numFmtId="0" fontId="4" fillId="0" borderId="24" xfId="0" applyFont="1" applyBorder="1" applyAlignment="1">
      <alignment vertical="center" wrapText="1"/>
    </xf>
    <xf numFmtId="0" fontId="4" fillId="0" borderId="25" xfId="0" applyFont="1" applyBorder="1" applyAlignment="1">
      <alignment vertical="center" wrapText="1"/>
    </xf>
    <xf numFmtId="165" fontId="4" fillId="0" borderId="18" xfId="0" applyNumberFormat="1" applyFont="1" applyBorder="1" applyAlignment="1">
      <alignment vertical="center"/>
    </xf>
    <xf numFmtId="165" fontId="2" fillId="0" borderId="0" xfId="0" applyNumberFormat="1" applyFont="1" applyAlignment="1">
      <alignment vertical="center"/>
    </xf>
    <xf numFmtId="165" fontId="15" fillId="4" borderId="26" xfId="0" applyNumberFormat="1" applyFont="1" applyFill="1" applyBorder="1" applyAlignment="1">
      <alignment vertical="center"/>
    </xf>
    <xf numFmtId="0" fontId="30" fillId="0" borderId="25" xfId="0" applyFont="1" applyBorder="1" applyAlignment="1">
      <alignment vertical="top"/>
    </xf>
    <xf numFmtId="0" fontId="25" fillId="0" borderId="21" xfId="0" applyFont="1" applyFill="1" applyBorder="1" applyAlignment="1">
      <alignment horizontal="center" vertical="center"/>
    </xf>
    <xf numFmtId="0" fontId="25" fillId="0" borderId="21" xfId="0" applyFont="1" applyBorder="1" applyAlignment="1">
      <alignment horizontal="center" vertical="center"/>
    </xf>
    <xf numFmtId="0" fontId="8" fillId="0" borderId="7" xfId="2" applyBorder="1" applyAlignment="1" applyProtection="1">
      <alignment vertical="top" wrapText="1"/>
    </xf>
    <xf numFmtId="0" fontId="5" fillId="0" borderId="0" xfId="0" applyFont="1" applyAlignment="1">
      <alignment horizontal="center"/>
    </xf>
    <xf numFmtId="0" fontId="4" fillId="0" borderId="2" xfId="0" applyFont="1" applyBorder="1" applyAlignment="1">
      <alignment horizontal="center" vertical="center"/>
    </xf>
    <xf numFmtId="0" fontId="4" fillId="0" borderId="20" xfId="0" applyFont="1" applyBorder="1" applyAlignment="1">
      <alignment horizontal="center" vertical="center"/>
    </xf>
    <xf numFmtId="0" fontId="2" fillId="0" borderId="0" xfId="0" applyFont="1" applyAlignment="1">
      <alignment horizontal="center" vertical="center"/>
    </xf>
    <xf numFmtId="0" fontId="15" fillId="4" borderId="27" xfId="0" applyFont="1" applyFill="1" applyBorder="1" applyAlignment="1">
      <alignment horizontal="center" vertical="center"/>
    </xf>
    <xf numFmtId="0" fontId="0" fillId="0" borderId="0" xfId="0" applyAlignment="1">
      <alignment horizontal="centerContinuous" vertical="top" wrapText="1"/>
    </xf>
    <xf numFmtId="0" fontId="34" fillId="0" borderId="0" xfId="0" applyFont="1" applyAlignment="1">
      <alignment horizontal="centerContinuous" vertical="top" wrapText="1"/>
    </xf>
    <xf numFmtId="0" fontId="23" fillId="0" borderId="0" xfId="0" applyFont="1" applyAlignment="1">
      <alignment horizontal="centerContinuous"/>
    </xf>
    <xf numFmtId="0" fontId="25" fillId="0" borderId="0" xfId="0" applyFont="1" applyAlignment="1">
      <alignment horizontal="centerContinuous" wrapText="1"/>
    </xf>
    <xf numFmtId="0" fontId="23" fillId="0" borderId="0" xfId="0" applyFont="1" applyFill="1" applyBorder="1" applyAlignment="1">
      <alignment horizontal="centerContinuous" wrapText="1"/>
    </xf>
    <xf numFmtId="0" fontId="36" fillId="0" borderId="0" xfId="0" applyFont="1" applyAlignment="1">
      <alignment horizontal="centerContinuous" vertical="top"/>
    </xf>
    <xf numFmtId="0" fontId="23" fillId="0" borderId="0" xfId="0" applyFont="1" applyAlignment="1">
      <alignment horizontal="centerContinuous" vertical="top"/>
    </xf>
    <xf numFmtId="0" fontId="19" fillId="0" borderId="0" xfId="0" applyFont="1" applyAlignment="1">
      <alignment horizontal="centerContinuous" vertical="top"/>
    </xf>
    <xf numFmtId="0" fontId="3" fillId="4" borderId="16" xfId="0" applyFont="1" applyFill="1" applyBorder="1" applyAlignment="1">
      <alignment horizontal="centerContinuous" vertical="center" wrapText="1"/>
    </xf>
    <xf numFmtId="0" fontId="3" fillId="4" borderId="13" xfId="0" applyFont="1" applyFill="1" applyBorder="1" applyAlignment="1">
      <alignment horizontal="centerContinuous" vertical="center" wrapText="1"/>
    </xf>
    <xf numFmtId="0" fontId="3" fillId="4" borderId="1" xfId="0" applyFont="1" applyFill="1" applyBorder="1" applyAlignment="1">
      <alignment horizontal="centerContinuous" vertical="center" wrapText="1"/>
    </xf>
    <xf numFmtId="0" fontId="0" fillId="0" borderId="0" xfId="0" applyAlignment="1">
      <alignment horizontal="center" wrapText="1"/>
    </xf>
    <xf numFmtId="0" fontId="2" fillId="0" borderId="0" xfId="0" applyFont="1" applyAlignment="1">
      <alignment horizontal="center" wrapText="1"/>
    </xf>
    <xf numFmtId="0" fontId="0" fillId="0" borderId="0" xfId="0" quotePrefix="1" applyAlignment="1">
      <alignment horizontal="center" wrapText="1"/>
    </xf>
    <xf numFmtId="0" fontId="2" fillId="0" borderId="0" xfId="0" quotePrefix="1" applyFont="1" applyAlignment="1">
      <alignment horizontal="center" wrapText="1"/>
    </xf>
    <xf numFmtId="0" fontId="4" fillId="0" borderId="0" xfId="0" applyFont="1" applyAlignment="1">
      <alignment horizontal="center" wrapText="1"/>
    </xf>
    <xf numFmtId="0" fontId="38" fillId="5" borderId="12" xfId="0" applyFont="1" applyFill="1" applyBorder="1" applyAlignment="1">
      <alignment horizontal="center" vertical="center"/>
    </xf>
    <xf numFmtId="0" fontId="41" fillId="0" borderId="0" xfId="0" applyFont="1"/>
    <xf numFmtId="0" fontId="25" fillId="0" borderId="25" xfId="0" applyFont="1" applyBorder="1" applyAlignment="1">
      <alignment vertical="top" wrapText="1"/>
    </xf>
    <xf numFmtId="0" fontId="2" fillId="0" borderId="0" xfId="0" applyFont="1" applyAlignment="1">
      <alignment vertical="top"/>
    </xf>
    <xf numFmtId="0" fontId="2" fillId="0" borderId="28" xfId="0" applyFont="1" applyBorder="1" applyAlignment="1">
      <alignment horizontal="left" vertical="center"/>
    </xf>
    <xf numFmtId="0" fontId="2" fillId="0" borderId="29" xfId="0" applyFont="1" applyBorder="1" applyAlignment="1">
      <alignment horizontal="left" vertical="center"/>
    </xf>
    <xf numFmtId="0" fontId="42" fillId="9" borderId="31" xfId="0" applyFont="1" applyFill="1" applyBorder="1" applyAlignment="1">
      <alignment horizontal="center" vertical="center"/>
    </xf>
    <xf numFmtId="0" fontId="42" fillId="9" borderId="30" xfId="0" applyFont="1" applyFill="1" applyBorder="1" applyAlignment="1">
      <alignment horizontal="center" vertical="center"/>
    </xf>
    <xf numFmtId="0" fontId="2" fillId="0" borderId="32" xfId="0" applyFont="1" applyBorder="1" applyAlignment="1">
      <alignment vertical="top"/>
    </xf>
    <xf numFmtId="0" fontId="2" fillId="0" borderId="0" xfId="0" applyFont="1" applyBorder="1" applyAlignment="1">
      <alignment horizontal="left" vertical="center"/>
    </xf>
    <xf numFmtId="0" fontId="2" fillId="0" borderId="33" xfId="0" applyFont="1" applyBorder="1" applyAlignment="1">
      <alignment horizontal="left" vertical="center"/>
    </xf>
    <xf numFmtId="0" fontId="42" fillId="9" borderId="34" xfId="0" applyFont="1" applyFill="1" applyBorder="1" applyAlignment="1">
      <alignment horizontal="center" vertical="center"/>
    </xf>
    <xf numFmtId="0" fontId="2" fillId="0" borderId="0" xfId="0" applyFont="1" applyBorder="1" applyAlignment="1">
      <alignment vertical="top"/>
    </xf>
    <xf numFmtId="0" fontId="2" fillId="10" borderId="32" xfId="0" applyFont="1" applyFill="1" applyBorder="1" applyAlignment="1">
      <alignment horizontal="center" vertical="center" wrapText="1"/>
    </xf>
    <xf numFmtId="165" fontId="43" fillId="11" borderId="12" xfId="0" applyNumberFormat="1" applyFont="1" applyFill="1" applyBorder="1" applyAlignment="1">
      <alignment horizontal="center" vertical="top"/>
    </xf>
    <xf numFmtId="1" fontId="39" fillId="0" borderId="21" xfId="0" applyNumberFormat="1" applyFont="1" applyBorder="1" applyAlignment="1">
      <alignment horizontal="center" vertical="center"/>
    </xf>
    <xf numFmtId="165" fontId="9" fillId="12" borderId="21" xfId="0" applyNumberFormat="1" applyFont="1" applyFill="1" applyBorder="1" applyAlignment="1">
      <alignment horizontal="center" vertical="center"/>
    </xf>
    <xf numFmtId="2" fontId="9" fillId="12" borderId="21" xfId="0" applyNumberFormat="1" applyFont="1" applyFill="1" applyBorder="1" applyAlignment="1">
      <alignment horizontal="center" vertical="center"/>
    </xf>
    <xf numFmtId="0" fontId="39" fillId="0" borderId="0" xfId="0" applyFont="1" applyAlignment="1">
      <alignment vertical="center"/>
    </xf>
    <xf numFmtId="0" fontId="9" fillId="0" borderId="0" xfId="0" applyFont="1" applyAlignment="1">
      <alignment vertical="center"/>
    </xf>
    <xf numFmtId="0" fontId="9" fillId="0" borderId="0" xfId="0" applyFont="1" applyAlignment="1">
      <alignment horizontal="center" vertical="center"/>
    </xf>
    <xf numFmtId="0" fontId="9" fillId="0" borderId="0" xfId="0" applyFont="1" applyAlignment="1">
      <alignment vertical="center" wrapText="1"/>
    </xf>
    <xf numFmtId="9" fontId="24" fillId="0" borderId="0" xfId="3" applyFont="1" applyBorder="1" applyAlignment="1">
      <alignment horizontal="center" vertical="top"/>
    </xf>
    <xf numFmtId="0" fontId="44" fillId="0" borderId="0" xfId="0" applyFont="1" applyAlignment="1">
      <alignment horizontal="left" vertical="top" wrapText="1"/>
    </xf>
    <xf numFmtId="0" fontId="9" fillId="0" borderId="0" xfId="0" applyFont="1" applyBorder="1" applyAlignment="1"/>
    <xf numFmtId="0" fontId="4" fillId="10" borderId="21" xfId="0" applyFont="1" applyFill="1" applyBorder="1" applyAlignment="1">
      <alignment vertical="center"/>
    </xf>
    <xf numFmtId="165" fontId="4" fillId="10" borderId="12" xfId="0" applyNumberFormat="1" applyFont="1" applyFill="1" applyBorder="1" applyAlignment="1">
      <alignment vertical="center"/>
    </xf>
    <xf numFmtId="0" fontId="4" fillId="10" borderId="2" xfId="0" applyFont="1" applyFill="1" applyBorder="1" applyAlignment="1">
      <alignment horizontal="center" vertical="center"/>
    </xf>
    <xf numFmtId="0" fontId="4" fillId="10" borderId="22" xfId="0" applyFont="1" applyFill="1" applyBorder="1" applyAlignment="1">
      <alignment vertical="center"/>
    </xf>
    <xf numFmtId="165" fontId="4" fillId="10" borderId="18" xfId="0" applyNumberFormat="1" applyFont="1" applyFill="1" applyBorder="1" applyAlignment="1">
      <alignment vertical="center"/>
    </xf>
    <xf numFmtId="0" fontId="4" fillId="10" borderId="20" xfId="0" applyFont="1" applyFill="1" applyBorder="1" applyAlignment="1">
      <alignment horizontal="center" vertical="center"/>
    </xf>
    <xf numFmtId="0" fontId="24" fillId="0" borderId="0" xfId="0" applyFont="1" applyAlignment="1">
      <alignment horizontal="right" vertical="center"/>
    </xf>
    <xf numFmtId="165" fontId="0" fillId="0" borderId="0" xfId="0" applyNumberFormat="1"/>
    <xf numFmtId="0" fontId="4" fillId="0" borderId="0" xfId="0" applyFont="1"/>
    <xf numFmtId="165" fontId="4" fillId="0" borderId="0" xfId="0" applyNumberFormat="1" applyFont="1"/>
    <xf numFmtId="0" fontId="45" fillId="13" borderId="0" xfId="0" applyFont="1" applyFill="1"/>
    <xf numFmtId="165" fontId="45" fillId="13" borderId="0" xfId="0" applyNumberFormat="1" applyFont="1" applyFill="1"/>
    <xf numFmtId="0" fontId="25" fillId="0" borderId="0" xfId="0" applyFont="1" applyBorder="1" applyAlignment="1">
      <alignment vertical="center"/>
    </xf>
    <xf numFmtId="165" fontId="25" fillId="0" borderId="0" xfId="0" applyNumberFormat="1" applyFont="1"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8" xfId="0" applyBorder="1"/>
    <xf numFmtId="0" fontId="0" fillId="0" borderId="10" xfId="0" applyBorder="1"/>
    <xf numFmtId="0" fontId="0" fillId="0" borderId="9" xfId="0" applyBorder="1"/>
    <xf numFmtId="0" fontId="27" fillId="8" borderId="35" xfId="0" applyFont="1" applyFill="1" applyBorder="1" applyAlignment="1">
      <alignment vertical="center"/>
    </xf>
    <xf numFmtId="165" fontId="26" fillId="8" borderId="36" xfId="0" applyNumberFormat="1" applyFont="1" applyFill="1" applyBorder="1" applyAlignment="1">
      <alignment vertical="center"/>
    </xf>
    <xf numFmtId="165" fontId="26" fillId="8" borderId="12" xfId="0" applyNumberFormat="1" applyFont="1" applyFill="1" applyBorder="1" applyAlignment="1">
      <alignment vertical="center"/>
    </xf>
    <xf numFmtId="0" fontId="26" fillId="8" borderId="2" xfId="0" applyFont="1" applyFill="1" applyBorder="1" applyAlignment="1">
      <alignment vertical="center"/>
    </xf>
    <xf numFmtId="2" fontId="5" fillId="0" borderId="7" xfId="0" quotePrefix="1" applyNumberFormat="1" applyFont="1" applyBorder="1" applyAlignment="1">
      <alignment horizontal="left" vertical="top" wrapText="1"/>
    </xf>
    <xf numFmtId="0" fontId="46" fillId="14" borderId="37" xfId="0" applyFont="1" applyFill="1" applyBorder="1" applyAlignment="1">
      <alignment vertical="center"/>
    </xf>
    <xf numFmtId="0" fontId="46" fillId="14" borderId="38" xfId="0" applyFont="1" applyFill="1" applyBorder="1" applyAlignment="1">
      <alignment vertical="center"/>
    </xf>
    <xf numFmtId="165" fontId="46" fillId="14" borderId="18" xfId="0" applyNumberFormat="1" applyFont="1" applyFill="1" applyBorder="1" applyAlignment="1">
      <alignment vertical="center"/>
    </xf>
    <xf numFmtId="0" fontId="46" fillId="14" borderId="20" xfId="0" applyFont="1" applyFill="1" applyBorder="1" applyAlignment="1">
      <alignment vertical="center"/>
    </xf>
    <xf numFmtId="0" fontId="27" fillId="15" borderId="36" xfId="0" applyFont="1" applyFill="1" applyBorder="1" applyAlignment="1">
      <alignment vertical="center"/>
    </xf>
    <xf numFmtId="0" fontId="26" fillId="15" borderId="35" xfId="0" applyFont="1" applyFill="1" applyBorder="1" applyAlignment="1">
      <alignment vertical="center"/>
    </xf>
    <xf numFmtId="165" fontId="26" fillId="15" borderId="12" xfId="0" applyNumberFormat="1" applyFont="1" applyFill="1" applyBorder="1" applyAlignment="1">
      <alignment vertical="center"/>
    </xf>
    <xf numFmtId="0" fontId="26" fillId="15" borderId="2" xfId="0" applyFont="1" applyFill="1" applyBorder="1" applyAlignment="1">
      <alignment vertical="center"/>
    </xf>
    <xf numFmtId="0" fontId="25" fillId="16" borderId="36" xfId="0" applyFont="1" applyFill="1" applyBorder="1" applyAlignment="1">
      <alignment vertical="center"/>
    </xf>
    <xf numFmtId="0" fontId="24" fillId="16" borderId="35" xfId="0" applyFont="1" applyFill="1" applyBorder="1" applyAlignment="1">
      <alignment vertical="center"/>
    </xf>
    <xf numFmtId="165" fontId="24" fillId="16" borderId="12" xfId="0" applyNumberFormat="1" applyFont="1" applyFill="1" applyBorder="1" applyAlignment="1">
      <alignment vertical="center"/>
    </xf>
    <xf numFmtId="0" fontId="24" fillId="16" borderId="2" xfId="0" applyFont="1" applyFill="1" applyBorder="1" applyAlignment="1">
      <alignment vertical="center"/>
    </xf>
    <xf numFmtId="0" fontId="27" fillId="17" borderId="36" xfId="0" applyFont="1" applyFill="1" applyBorder="1" applyAlignment="1">
      <alignment vertical="center"/>
    </xf>
    <xf numFmtId="0" fontId="26" fillId="17" borderId="35" xfId="0" applyFont="1" applyFill="1" applyBorder="1" applyAlignment="1">
      <alignment vertical="center"/>
    </xf>
    <xf numFmtId="165" fontId="26" fillId="17" borderId="12" xfId="0" applyNumberFormat="1" applyFont="1" applyFill="1" applyBorder="1" applyAlignment="1">
      <alignment vertical="center"/>
    </xf>
    <xf numFmtId="0" fontId="26" fillId="17" borderId="2" xfId="0" applyFont="1" applyFill="1" applyBorder="1" applyAlignment="1">
      <alignment vertical="center"/>
    </xf>
    <xf numFmtId="0" fontId="25" fillId="18" borderId="39" xfId="0" applyFont="1" applyFill="1" applyBorder="1" applyAlignment="1">
      <alignment vertical="center"/>
    </xf>
    <xf numFmtId="0" fontId="25" fillId="18" borderId="40" xfId="0" applyFont="1" applyFill="1" applyBorder="1" applyAlignment="1">
      <alignment vertical="center"/>
    </xf>
    <xf numFmtId="165" fontId="25" fillId="18" borderId="13" xfId="0" applyNumberFormat="1" applyFont="1" applyFill="1" applyBorder="1" applyAlignment="1">
      <alignment vertical="center"/>
    </xf>
    <xf numFmtId="0" fontId="25" fillId="18" borderId="1" xfId="0" applyFont="1" applyFill="1" applyBorder="1" applyAlignment="1">
      <alignment vertical="center"/>
    </xf>
    <xf numFmtId="0" fontId="25" fillId="19" borderId="36" xfId="0" applyFont="1" applyFill="1" applyBorder="1" applyAlignment="1">
      <alignment vertical="center"/>
    </xf>
    <xf numFmtId="0" fontId="25" fillId="19" borderId="35" xfId="0" applyFont="1" applyFill="1" applyBorder="1" applyAlignment="1">
      <alignment vertical="center"/>
    </xf>
    <xf numFmtId="165" fontId="25" fillId="19" borderId="12" xfId="0" applyNumberFormat="1" applyFont="1" applyFill="1" applyBorder="1" applyAlignment="1">
      <alignment vertical="center"/>
    </xf>
    <xf numFmtId="0" fontId="25" fillId="19" borderId="2" xfId="0" applyFont="1" applyFill="1" applyBorder="1" applyAlignment="1">
      <alignment vertical="center"/>
    </xf>
    <xf numFmtId="0" fontId="25" fillId="20" borderId="36" xfId="0" applyFont="1" applyFill="1" applyBorder="1" applyAlignment="1">
      <alignment vertical="center"/>
    </xf>
    <xf numFmtId="0" fontId="25" fillId="20" borderId="35" xfId="0" applyFont="1" applyFill="1" applyBorder="1" applyAlignment="1">
      <alignment vertical="center"/>
    </xf>
    <xf numFmtId="165" fontId="25" fillId="20" borderId="12" xfId="0" applyNumberFormat="1" applyFont="1" applyFill="1" applyBorder="1" applyAlignment="1">
      <alignment vertical="center"/>
    </xf>
    <xf numFmtId="0" fontId="25" fillId="20" borderId="2" xfId="0" applyFont="1" applyFill="1" applyBorder="1" applyAlignment="1">
      <alignment vertical="center"/>
    </xf>
    <xf numFmtId="0" fontId="1" fillId="0" borderId="0" xfId="0" applyFont="1" applyAlignment="1">
      <alignment vertical="top"/>
    </xf>
    <xf numFmtId="0" fontId="2" fillId="0" borderId="0" xfId="0" applyFont="1" applyAlignment="1">
      <alignment horizontal="center" vertical="top"/>
    </xf>
    <xf numFmtId="0" fontId="2" fillId="0" borderId="0" xfId="0" applyFont="1" applyAlignment="1">
      <alignment vertical="top" wrapText="1"/>
    </xf>
    <xf numFmtId="0" fontId="2" fillId="0" borderId="3" xfId="0" applyFont="1" applyBorder="1" applyAlignment="1">
      <alignment vertical="top"/>
    </xf>
    <xf numFmtId="0" fontId="2" fillId="0" borderId="4" xfId="0" applyFont="1" applyBorder="1" applyAlignment="1">
      <alignment vertical="top"/>
    </xf>
    <xf numFmtId="0" fontId="2" fillId="0" borderId="5" xfId="0" applyFont="1" applyBorder="1" applyAlignment="1">
      <alignment vertical="top"/>
    </xf>
    <xf numFmtId="0" fontId="2" fillId="0" borderId="7" xfId="0" applyFont="1" applyBorder="1" applyAlignment="1">
      <alignment vertical="top"/>
    </xf>
    <xf numFmtId="0" fontId="2" fillId="0" borderId="6" xfId="0" applyFont="1" applyBorder="1" applyAlignment="1">
      <alignment vertical="top"/>
    </xf>
    <xf numFmtId="0" fontId="2" fillId="0" borderId="12" xfId="0" applyFont="1" applyFill="1" applyBorder="1" applyAlignment="1">
      <alignment horizontal="center" vertical="center"/>
    </xf>
    <xf numFmtId="165" fontId="2" fillId="0" borderId="12"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0" borderId="30" xfId="0" applyFont="1" applyBorder="1" applyAlignment="1">
      <alignment horizontal="center" vertical="center"/>
    </xf>
    <xf numFmtId="169" fontId="39" fillId="12" borderId="21" xfId="0" applyNumberFormat="1" applyFont="1" applyFill="1" applyBorder="1" applyAlignment="1">
      <alignment horizontal="center" vertical="center"/>
    </xf>
    <xf numFmtId="165" fontId="2" fillId="0" borderId="0" xfId="0" applyNumberFormat="1" applyFont="1" applyBorder="1" applyAlignment="1">
      <alignment vertical="top"/>
    </xf>
    <xf numFmtId="0" fontId="2" fillId="0" borderId="8" xfId="0" applyFont="1" applyBorder="1" applyAlignment="1">
      <alignment vertical="top"/>
    </xf>
    <xf numFmtId="0" fontId="2" fillId="0" borderId="10" xfId="0" applyFont="1" applyBorder="1" applyAlignment="1">
      <alignment vertical="top"/>
    </xf>
    <xf numFmtId="0" fontId="2" fillId="0" borderId="9" xfId="0" applyFont="1" applyBorder="1" applyAlignment="1">
      <alignment vertical="top"/>
    </xf>
    <xf numFmtId="1" fontId="39" fillId="12" borderId="12" xfId="0" applyNumberFormat="1" applyFont="1" applyFill="1" applyBorder="1" applyAlignment="1">
      <alignment horizontal="center" vertical="center"/>
    </xf>
    <xf numFmtId="0" fontId="3" fillId="4" borderId="41" xfId="0" applyFont="1" applyFill="1" applyBorder="1" applyAlignment="1">
      <alignment horizontal="center" vertical="center"/>
    </xf>
    <xf numFmtId="0" fontId="25" fillId="0" borderId="12" xfId="0" applyFont="1" applyBorder="1" applyAlignment="1">
      <alignment horizontal="left" vertical="center"/>
    </xf>
    <xf numFmtId="0" fontId="25" fillId="0" borderId="14" xfId="0" applyFont="1" applyBorder="1" applyAlignment="1">
      <alignment vertical="center"/>
    </xf>
    <xf numFmtId="0" fontId="25" fillId="0" borderId="42" xfId="0" applyFont="1" applyBorder="1" applyAlignment="1">
      <alignment vertical="center"/>
    </xf>
    <xf numFmtId="0" fontId="25" fillId="0" borderId="14" xfId="0" applyFont="1" applyBorder="1" applyAlignment="1">
      <alignment horizontal="left" vertical="center"/>
    </xf>
    <xf numFmtId="0" fontId="25" fillId="0" borderId="42" xfId="0" applyFont="1" applyBorder="1" applyAlignment="1">
      <alignment horizontal="left" vertical="center"/>
    </xf>
    <xf numFmtId="0" fontId="25" fillId="0" borderId="12" xfId="0" applyFont="1" applyBorder="1" applyAlignment="1">
      <alignment vertical="center" wrapText="1"/>
    </xf>
    <xf numFmtId="0" fontId="4" fillId="21" borderId="32" xfId="0" applyFont="1" applyFill="1" applyBorder="1" applyAlignment="1">
      <alignment vertical="center"/>
    </xf>
    <xf numFmtId="0" fontId="0" fillId="21" borderId="35" xfId="0" applyFill="1" applyBorder="1" applyAlignment="1">
      <alignment vertical="center"/>
    </xf>
    <xf numFmtId="0" fontId="0" fillId="21" borderId="21" xfId="0" applyFill="1" applyBorder="1" applyAlignment="1">
      <alignment vertical="center"/>
    </xf>
    <xf numFmtId="0" fontId="25" fillId="0" borderId="12" xfId="0" applyFont="1" applyBorder="1" applyAlignment="1">
      <alignment horizontal="left" vertical="center" wrapText="1"/>
    </xf>
    <xf numFmtId="0" fontId="30" fillId="0" borderId="12" xfId="0" applyFont="1" applyBorder="1" applyAlignment="1">
      <alignment vertical="center" wrapText="1"/>
    </xf>
    <xf numFmtId="0" fontId="25" fillId="0" borderId="28" xfId="0" applyFont="1" applyBorder="1" applyAlignment="1">
      <alignment vertical="center" wrapText="1"/>
    </xf>
    <xf numFmtId="0" fontId="25" fillId="0" borderId="29" xfId="0" applyFont="1" applyBorder="1" applyAlignment="1">
      <alignment vertical="center" wrapText="1"/>
    </xf>
    <xf numFmtId="0" fontId="30" fillId="0" borderId="14" xfId="0" applyFont="1" applyBorder="1" applyAlignment="1">
      <alignment horizontal="left" vertical="center"/>
    </xf>
    <xf numFmtId="0" fontId="30" fillId="0" borderId="42" xfId="0" applyFont="1" applyBorder="1" applyAlignment="1">
      <alignment horizontal="left" vertical="center"/>
    </xf>
    <xf numFmtId="0" fontId="25" fillId="0" borderId="14" xfId="0" applyFont="1" applyBorder="1" applyAlignment="1">
      <alignment horizontal="left" vertical="center" wrapText="1"/>
    </xf>
    <xf numFmtId="0" fontId="25" fillId="0" borderId="42" xfId="0" applyFont="1" applyBorder="1" applyAlignment="1">
      <alignment horizontal="left" vertical="center" wrapText="1"/>
    </xf>
    <xf numFmtId="0" fontId="25" fillId="0" borderId="32" xfId="0" applyFont="1" applyBorder="1" applyAlignment="1">
      <alignment horizontal="center" vertical="center"/>
    </xf>
    <xf numFmtId="0" fontId="25" fillId="0" borderId="35" xfId="0" applyFont="1" applyBorder="1" applyAlignment="1">
      <alignment horizontal="center" vertical="center"/>
    </xf>
    <xf numFmtId="0" fontId="25" fillId="0" borderId="21" xfId="0" applyFont="1" applyBorder="1" applyAlignment="1">
      <alignment horizontal="center" vertical="center"/>
    </xf>
    <xf numFmtId="0" fontId="25" fillId="0" borderId="32" xfId="0" applyFont="1" applyFill="1" applyBorder="1" applyAlignment="1">
      <alignment horizontal="center" vertical="center"/>
    </xf>
    <xf numFmtId="0" fontId="25" fillId="0" borderId="35" xfId="0" applyFont="1" applyFill="1" applyBorder="1" applyAlignment="1">
      <alignment horizontal="center" vertical="center"/>
    </xf>
    <xf numFmtId="0" fontId="25" fillId="0" borderId="21" xfId="0" applyFont="1" applyFill="1" applyBorder="1" applyAlignment="1">
      <alignment horizontal="center" vertical="center"/>
    </xf>
    <xf numFmtId="0" fontId="23" fillId="0" borderId="0" xfId="0" applyFont="1" applyAlignment="1">
      <alignment horizontal="center"/>
    </xf>
    <xf numFmtId="0" fontId="19" fillId="0" borderId="0" xfId="0" applyFont="1" applyAlignment="1">
      <alignment horizontal="center"/>
    </xf>
    <xf numFmtId="165" fontId="43" fillId="11" borderId="26" xfId="0" applyNumberFormat="1" applyFont="1" applyFill="1" applyBorder="1" applyAlignment="1">
      <alignment horizontal="center" vertical="center"/>
    </xf>
    <xf numFmtId="0" fontId="0" fillId="0" borderId="27" xfId="0" applyBorder="1" applyAlignment="1"/>
    <xf numFmtId="0" fontId="26" fillId="5" borderId="26" xfId="0" applyFont="1" applyFill="1" applyBorder="1" applyAlignment="1">
      <alignment horizontal="center" vertical="top" wrapText="1"/>
    </xf>
    <xf numFmtId="0" fontId="26" fillId="5" borderId="27" xfId="0" applyFont="1" applyFill="1" applyBorder="1" applyAlignment="1">
      <alignment horizontal="center" vertical="top" wrapText="1"/>
    </xf>
    <xf numFmtId="0" fontId="47" fillId="0" borderId="26" xfId="0" applyFont="1" applyBorder="1" applyAlignment="1">
      <alignment horizontal="center" vertical="center"/>
    </xf>
    <xf numFmtId="0" fontId="47" fillId="0" borderId="43" xfId="0" applyFont="1" applyBorder="1" applyAlignment="1">
      <alignment horizontal="center" vertical="center"/>
    </xf>
    <xf numFmtId="0" fontId="47" fillId="0" borderId="27" xfId="0" applyFont="1" applyBorder="1" applyAlignment="1">
      <alignment horizontal="center" vertical="center"/>
    </xf>
    <xf numFmtId="0" fontId="9" fillId="0" borderId="43" xfId="0" applyFont="1" applyBorder="1" applyAlignment="1">
      <alignment horizontal="center" vertical="center"/>
    </xf>
    <xf numFmtId="0" fontId="9" fillId="0" borderId="27" xfId="0" applyFont="1" applyBorder="1" applyAlignment="1">
      <alignment horizontal="center" vertical="center"/>
    </xf>
    <xf numFmtId="0" fontId="25" fillId="0" borderId="11" xfId="0" applyFont="1" applyBorder="1" applyAlignment="1">
      <alignment vertical="top" wrapText="1"/>
    </xf>
    <xf numFmtId="0" fontId="0" fillId="0" borderId="44" xfId="0" applyBorder="1" applyAlignment="1">
      <alignment vertical="top" wrapText="1"/>
    </xf>
    <xf numFmtId="0" fontId="0" fillId="0" borderId="0" xfId="0" applyBorder="1" applyAlignment="1">
      <alignment horizontal="center" wrapText="1"/>
    </xf>
    <xf numFmtId="0" fontId="9" fillId="0" borderId="4" xfId="0" applyFont="1" applyBorder="1" applyAlignment="1">
      <alignment horizontal="center" vertical="center"/>
    </xf>
    <xf numFmtId="0" fontId="20" fillId="0" borderId="4" xfId="0" applyFont="1" applyBorder="1" applyAlignment="1">
      <alignment horizontal="center" vertical="center"/>
    </xf>
  </cellXfs>
  <cellStyles count="4">
    <cellStyle name="Dziesiętny" xfId="1" builtinId="3"/>
    <cellStyle name="Hiperłącze" xfId="2" builtinId="8"/>
    <cellStyle name="Normalny" xfId="0" builtinId="0"/>
    <cellStyle name="Procentowy"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6600"/>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745"/>
          <c:y val="0.19076951738208742"/>
          <c:w val="0.35853169560324982"/>
          <c:h val="0.74461650333008411"/>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366.18360160965807</c:v>
                </c:pt>
              </c:numCache>
            </c:numRef>
          </c:val>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342.65142970549351</c:v>
                </c:pt>
              </c:numCache>
            </c:numRef>
          </c:val>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63.026925128205136</c:v>
                </c:pt>
              </c:numCache>
            </c:numRef>
          </c:val>
        </c:ser>
        <c:dLbls>
          <c:showLegendKey val="0"/>
          <c:showVal val="0"/>
          <c:showCatName val="0"/>
          <c:showSerName val="0"/>
          <c:showPercent val="0"/>
          <c:showBubbleSize val="0"/>
        </c:dLbls>
        <c:gapWidth val="150"/>
        <c:overlap val="100"/>
        <c:axId val="482672800"/>
        <c:axId val="482668880"/>
      </c:barChart>
      <c:catAx>
        <c:axId val="482672800"/>
        <c:scaling>
          <c:orientation val="minMax"/>
        </c:scaling>
        <c:delete val="1"/>
        <c:axPos val="b"/>
        <c:majorTickMark val="out"/>
        <c:minorTickMark val="none"/>
        <c:tickLblPos val="nextTo"/>
        <c:crossAx val="482668880"/>
        <c:crosses val="autoZero"/>
        <c:auto val="1"/>
        <c:lblAlgn val="ctr"/>
        <c:lblOffset val="100"/>
        <c:noMultiLvlLbl val="0"/>
      </c:catAx>
      <c:valAx>
        <c:axId val="482668880"/>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7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pl-PL"/>
          </a:p>
        </c:txPr>
        <c:crossAx val="482672800"/>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543"/>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pl-PL"/>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pl-PL"/>
    </a:p>
  </c:txPr>
  <c:printSettings>
    <c:headerFooter alignWithMargins="0"/>
    <c:pageMargins b="1" l="0.750000000000001" r="0.75000000000000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3306292898954641"/>
          <c:y val="6.7202242994479494E-2"/>
        </c:manualLayout>
      </c:layout>
      <c:overlay val="0"/>
      <c:spPr>
        <a:noFill/>
        <a:ln w="25400">
          <a:noFill/>
        </a:ln>
      </c:spPr>
    </c:title>
    <c:autoTitleDeleted val="0"/>
    <c:plotArea>
      <c:layout>
        <c:manualLayout>
          <c:layoutTarget val="inner"/>
          <c:xMode val="edge"/>
          <c:yMode val="edge"/>
          <c:x val="7.1047613893624129E-2"/>
          <c:y val="3.0947258353269242E-2"/>
          <c:w val="0.86790266512166858"/>
          <c:h val="0.7426369014265527"/>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dPt>
          <c:dPt>
            <c:idx val="1"/>
            <c:invertIfNegative val="0"/>
            <c:bubble3D val="0"/>
            <c:spPr>
              <a:solidFill>
                <a:srgbClr val="F68933"/>
              </a:solidFill>
              <a:ln w="12700">
                <a:solidFill>
                  <a:srgbClr val="000000"/>
                </a:solidFill>
                <a:prstDash val="solid"/>
              </a:ln>
            </c:spPr>
          </c:dPt>
          <c:dPt>
            <c:idx val="2"/>
            <c:invertIfNegative val="0"/>
            <c:bubble3D val="0"/>
            <c:spPr>
              <a:solidFill>
                <a:srgbClr val="FF9900"/>
              </a:solidFill>
              <a:ln w="12700">
                <a:solidFill>
                  <a:srgbClr val="000000"/>
                </a:solidFill>
                <a:prstDash val="solid"/>
              </a:ln>
            </c:spPr>
          </c:dPt>
          <c:dPt>
            <c:idx val="3"/>
            <c:invertIfNegative val="0"/>
            <c:bubble3D val="0"/>
            <c:spPr>
              <a:solidFill>
                <a:srgbClr val="FF9900"/>
              </a:solidFill>
              <a:ln w="12700">
                <a:solidFill>
                  <a:srgbClr val="000000"/>
                </a:solidFill>
                <a:prstDash val="solid"/>
              </a:ln>
            </c:spPr>
          </c:dPt>
          <c:dPt>
            <c:idx val="4"/>
            <c:invertIfNegative val="0"/>
            <c:bubble3D val="0"/>
            <c:spPr>
              <a:solidFill>
                <a:srgbClr val="FF9900"/>
              </a:solidFill>
              <a:ln w="12700">
                <a:solidFill>
                  <a:srgbClr val="000000"/>
                </a:solidFill>
                <a:prstDash val="solid"/>
              </a:ln>
            </c:spPr>
          </c:dPt>
          <c:dPt>
            <c:idx val="5"/>
            <c:invertIfNegative val="0"/>
            <c:bubble3D val="0"/>
            <c:spPr>
              <a:solidFill>
                <a:srgbClr val="072A5E"/>
              </a:solidFill>
              <a:ln w="12700">
                <a:solidFill>
                  <a:srgbClr val="000000"/>
                </a:solidFill>
                <a:prstDash val="solid"/>
              </a:ln>
            </c:spPr>
          </c:dPt>
          <c:dPt>
            <c:idx val="6"/>
            <c:invertIfNegative val="0"/>
            <c:bubble3D val="0"/>
            <c:spPr>
              <a:solidFill>
                <a:srgbClr val="072A5E"/>
              </a:solidFill>
              <a:ln w="12700">
                <a:solidFill>
                  <a:srgbClr val="000000"/>
                </a:solidFill>
                <a:prstDash val="solid"/>
              </a:ln>
            </c:spPr>
          </c:dPt>
          <c:dPt>
            <c:idx val="7"/>
            <c:invertIfNegative val="0"/>
            <c:bubble3D val="0"/>
            <c:spPr>
              <a:solidFill>
                <a:srgbClr val="072A5E"/>
              </a:solidFill>
              <a:ln w="12700">
                <a:solidFill>
                  <a:srgbClr val="000000"/>
                </a:solidFill>
                <a:prstDash val="solid"/>
              </a:ln>
            </c:spPr>
          </c:dPt>
          <c:dPt>
            <c:idx val="8"/>
            <c:invertIfNegative val="0"/>
            <c:bubble3D val="0"/>
            <c:spPr>
              <a:solidFill>
                <a:srgbClr val="072A5E"/>
              </a:solidFill>
              <a:ln w="12700">
                <a:solidFill>
                  <a:srgbClr val="000000"/>
                </a:solidFill>
                <a:prstDash val="solid"/>
              </a:ln>
            </c:spPr>
          </c:dPt>
          <c:dPt>
            <c:idx val="9"/>
            <c:invertIfNegative val="0"/>
            <c:bubble3D val="0"/>
            <c:spPr>
              <a:solidFill>
                <a:srgbClr val="072A5E"/>
              </a:solidFill>
              <a:ln w="12700">
                <a:solidFill>
                  <a:srgbClr val="000000"/>
                </a:solidFill>
                <a:prstDash val="solid"/>
              </a:ln>
            </c:spPr>
          </c:dPt>
          <c:dPt>
            <c:idx val="10"/>
            <c:invertIfNegative val="0"/>
            <c:bubble3D val="0"/>
            <c:spPr>
              <a:solidFill>
                <a:srgbClr val="492F92"/>
              </a:solidFill>
              <a:ln w="12700">
                <a:solidFill>
                  <a:srgbClr val="000000"/>
                </a:solidFill>
                <a:prstDash val="solid"/>
              </a:ln>
            </c:spPr>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366.18360160965807</c:v>
                </c:pt>
                <c:pt idx="1">
                  <c:v>127.83600000000001</c:v>
                </c:pt>
                <c:pt idx="2">
                  <c:v>79.060000000000016</c:v>
                </c:pt>
                <c:pt idx="3">
                  <c:v>34.929036739881923</c:v>
                </c:pt>
                <c:pt idx="4">
                  <c:v>100.82639296561157</c:v>
                </c:pt>
                <c:pt idx="5">
                  <c:v>35.081200000000003</c:v>
                </c:pt>
                <c:pt idx="6">
                  <c:v>14.214719999999998</c:v>
                </c:pt>
                <c:pt idx="7">
                  <c:v>6.1907999999999994</c:v>
                </c:pt>
                <c:pt idx="8">
                  <c:v>2.4119999999999999</c:v>
                </c:pt>
                <c:pt idx="9">
                  <c:v>5.1282051282051295</c:v>
                </c:pt>
                <c:pt idx="10">
                  <c:v>0</c:v>
                </c:pt>
              </c:numCache>
            </c:numRef>
          </c:val>
        </c:ser>
        <c:dLbls>
          <c:showLegendKey val="0"/>
          <c:showVal val="0"/>
          <c:showCatName val="0"/>
          <c:showSerName val="0"/>
          <c:showPercent val="0"/>
          <c:showBubbleSize val="0"/>
        </c:dLbls>
        <c:gapWidth val="150"/>
        <c:axId val="482670056"/>
        <c:axId val="482670840"/>
      </c:barChart>
      <c:catAx>
        <c:axId val="482670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pl-PL"/>
          </a:p>
        </c:txPr>
        <c:crossAx val="482670840"/>
        <c:crosses val="autoZero"/>
        <c:auto val="1"/>
        <c:lblAlgn val="ctr"/>
        <c:lblOffset val="100"/>
        <c:tickLblSkip val="1"/>
        <c:tickMarkSkip val="1"/>
        <c:noMultiLvlLbl val="0"/>
      </c:catAx>
      <c:valAx>
        <c:axId val="482670840"/>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23E-4"/>
              <c:y val="0.346348226939469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pl-PL"/>
          </a:p>
        </c:txPr>
        <c:crossAx val="482670056"/>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pl-PL"/>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Drop" dropLines="3" dropStyle="combo" dx="15" fmlaLink="$K$1" fmlaRange="$K$3:$K$5" noThreeD="1" sel="3" val="0"/>
</file>

<file path=xl/ctrlProps/ctrlProp2.xml><?xml version="1.0" encoding="utf-8"?>
<formControlPr xmlns="http://schemas.microsoft.com/office/spreadsheetml/2009/9/main" objectType="Drop" dropLines="10" dropStyle="combo" dx="15" fmlaLink="$H$1" fmlaRange="$H$3:$H$12" noThreeD="1" sel="1" val="0"/>
</file>

<file path=xl/ctrlProps/ctrlProp3.xml><?xml version="1.0" encoding="utf-8"?>
<formControlPr xmlns="http://schemas.microsoft.com/office/spreadsheetml/2009/9/main" objectType="Drop" dropLines="3" dropStyle="combo" dx="15" fmlaLink="$G$1" fmlaRange="$G$3:$G$5" noThreeD="1" sel="2" val="0"/>
</file>

<file path=xl/ctrlProps/ctrlProp4.xml><?xml version="1.0" encoding="utf-8"?>
<formControlPr xmlns="http://schemas.microsoft.com/office/spreadsheetml/2009/9/main" objectType="Drop" dropLines="3" dropStyle="combo" dx="15" fmlaLink="$K$1" fmlaRange="$K$3:$K$5" noThreeD="1" sel="3" val="0"/>
</file>

<file path=xl/ctrlProps/ctrlProp5.xml><?xml version="1.0" encoding="utf-8"?>
<formControlPr xmlns="http://schemas.microsoft.com/office/spreadsheetml/2009/9/main" objectType="Drop" dropLines="10" dropStyle="combo" dx="15" fmlaLink="$H$1" fmlaRange="$H$3:$H$12" noThreeD="1" sel="1" val="0"/>
</file>

<file path=xl/ctrlProps/ctrlProp6.xml><?xml version="1.0" encoding="utf-8"?>
<formControlPr xmlns="http://schemas.microsoft.com/office/spreadsheetml/2009/9/main" objectType="Drop" dropLines="2" dropStyle="combo" dx="15" fmlaLink="$I$1" fmlaRange="$I$3:$I$4"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4</xdr:col>
      <xdr:colOff>0</xdr:colOff>
      <xdr:row>20</xdr:row>
      <xdr:rowOff>0</xdr:rowOff>
    </xdr:to>
    <xdr:sp macro="" textlink="">
      <xdr:nvSpPr>
        <xdr:cNvPr id="3075" name="Rectangle 3"/>
        <xdr:cNvSpPr>
          <a:spLocks noChangeArrowheads="1"/>
        </xdr:cNvSpPr>
      </xdr:nvSpPr>
      <xdr:spPr bwMode="auto">
        <a:xfrm>
          <a:off x="590550" y="171450"/>
          <a:ext cx="5219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1</xdr:col>
      <xdr:colOff>781050</xdr:colOff>
      <xdr:row>3</xdr:row>
      <xdr:rowOff>57150</xdr:rowOff>
    </xdr:to>
    <xdr:pic>
      <xdr:nvPicPr>
        <xdr:cNvPr id="7369"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123825" y="857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161925</xdr:rowOff>
    </xdr:from>
    <xdr:to>
      <xdr:col>4</xdr:col>
      <xdr:colOff>228600</xdr:colOff>
      <xdr:row>9</xdr:row>
      <xdr:rowOff>219075</xdr:rowOff>
    </xdr:to>
    <xdr:sp macro="" textlink="">
      <xdr:nvSpPr>
        <xdr:cNvPr id="5107" name="AutoShape 9"/>
        <xdr:cNvSpPr>
          <a:spLocks/>
        </xdr:cNvSpPr>
      </xdr:nvSpPr>
      <xdr:spPr bwMode="auto">
        <a:xfrm>
          <a:off x="5857875" y="1104900"/>
          <a:ext cx="171450" cy="1066800"/>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4</xdr:col>
      <xdr:colOff>295275</xdr:colOff>
      <xdr:row>4</xdr:row>
      <xdr:rowOff>266700</xdr:rowOff>
    </xdr:from>
    <xdr:to>
      <xdr:col>4</xdr:col>
      <xdr:colOff>2714625</xdr:colOff>
      <xdr:row>9</xdr:row>
      <xdr:rowOff>228600</xdr:rowOff>
    </xdr:to>
    <xdr:sp macro="" textlink="">
      <xdr:nvSpPr>
        <xdr:cNvPr id="4106" name="Text Box 10"/>
        <xdr:cNvSpPr txBox="1">
          <a:spLocks noChangeArrowheads="1"/>
        </xdr:cNvSpPr>
      </xdr:nvSpPr>
      <xdr:spPr bwMode="auto">
        <a:xfrm>
          <a:off x="6096000" y="914400"/>
          <a:ext cx="2419350" cy="1266825"/>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4</xdr:col>
      <xdr:colOff>57150</xdr:colOff>
      <xdr:row>13</xdr:row>
      <xdr:rowOff>9525</xdr:rowOff>
    </xdr:from>
    <xdr:to>
      <xdr:col>4</xdr:col>
      <xdr:colOff>247650</xdr:colOff>
      <xdr:row>36</xdr:row>
      <xdr:rowOff>190500</xdr:rowOff>
    </xdr:to>
    <xdr:sp macro="" textlink="">
      <xdr:nvSpPr>
        <xdr:cNvPr id="5109" name="AutoShape 11"/>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4</xdr:col>
      <xdr:colOff>304800</xdr:colOff>
      <xdr:row>22</xdr:row>
      <xdr:rowOff>66675</xdr:rowOff>
    </xdr:from>
    <xdr:to>
      <xdr:col>5</xdr:col>
      <xdr:colOff>171450</xdr:colOff>
      <xdr:row>29</xdr:row>
      <xdr:rowOff>28575</xdr:rowOff>
    </xdr:to>
    <xdr:sp macro="" textlink="">
      <xdr:nvSpPr>
        <xdr:cNvPr id="4109" name="Text Box 13"/>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"DDR3 Spec" tab. Please confirm the numbers in that worksheet are updated prior to use.</a:t>
          </a:r>
        </a:p>
      </xdr:txBody>
    </xdr:sp>
    <xdr:clientData/>
  </xdr:twoCellAnchor>
  <xdr:twoCellAnchor editAs="oneCell">
    <xdr:from>
      <xdr:col>4</xdr:col>
      <xdr:colOff>876300</xdr:colOff>
      <xdr:row>0</xdr:row>
      <xdr:rowOff>95250</xdr:rowOff>
    </xdr:from>
    <xdr:to>
      <xdr:col>4</xdr:col>
      <xdr:colOff>2552700</xdr:colOff>
      <xdr:row>3</xdr:row>
      <xdr:rowOff>66675</xdr:rowOff>
    </xdr:to>
    <xdr:pic>
      <xdr:nvPicPr>
        <xdr:cNvPr id="5111"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6677025" y="95250"/>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4</xdr:col>
          <xdr:colOff>9525</xdr:colOff>
          <xdr:row>8</xdr:row>
          <xdr:rowOff>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4</xdr:col>
          <xdr:colOff>9525</xdr:colOff>
          <xdr:row>9</xdr:row>
          <xdr:rowOff>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4</xdr:col>
          <xdr:colOff>9525</xdr:colOff>
          <xdr:row>7</xdr:row>
          <xdr:rowOff>0</xdr:rowOff>
        </xdr:to>
        <xdr:sp macro="" textlink="">
          <xdr:nvSpPr>
            <xdr:cNvPr id="4102" name="Drop Down 6" hidden="1">
              <a:extLst>
                <a:ext uri="{63B3BB69-23CF-44E3-9099-C40C66FF867C}">
                  <a14:compatExt spid="_x0000_s41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4</xdr:col>
          <xdr:colOff>9525</xdr:colOff>
          <xdr:row>8</xdr:row>
          <xdr:rowOff>0</xdr:rowOff>
        </xdr:to>
        <xdr:sp macro="" textlink="">
          <xdr:nvSpPr>
            <xdr:cNvPr id="4993" name="Drop Down 897" hidden="1">
              <a:extLst>
                <a:ext uri="{63B3BB69-23CF-44E3-9099-C40C66FF867C}">
                  <a14:compatExt spid="_x0000_s49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4</xdr:col>
          <xdr:colOff>9525</xdr:colOff>
          <xdr:row>9</xdr:row>
          <xdr:rowOff>0</xdr:rowOff>
        </xdr:to>
        <xdr:sp macro="" textlink="">
          <xdr:nvSpPr>
            <xdr:cNvPr id="4994" name="Drop Down 898" hidden="1">
              <a:extLst>
                <a:ext uri="{63B3BB69-23CF-44E3-9099-C40C66FF867C}">
                  <a14:compatExt spid="_x0000_s49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9</xdr:row>
          <xdr:rowOff>0</xdr:rowOff>
        </xdr:from>
        <xdr:to>
          <xdr:col>4</xdr:col>
          <xdr:colOff>9525</xdr:colOff>
          <xdr:row>9</xdr:row>
          <xdr:rowOff>228600</xdr:rowOff>
        </xdr:to>
        <xdr:sp macro="" textlink="">
          <xdr:nvSpPr>
            <xdr:cNvPr id="4996" name="Drop Down 900" hidden="1">
              <a:extLst>
                <a:ext uri="{63B3BB69-23CF-44E3-9099-C40C66FF867C}">
                  <a14:compatExt spid="_x0000_s4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4</xdr:row>
      <xdr:rowOff>85725</xdr:rowOff>
    </xdr:from>
    <xdr:to>
      <xdr:col>21</xdr:col>
      <xdr:colOff>266700</xdr:colOff>
      <xdr:row>11</xdr:row>
      <xdr:rowOff>0</xdr:rowOff>
    </xdr:to>
    <xdr:pic>
      <xdr:nvPicPr>
        <xdr:cNvPr id="5477" name="Picture 135"/>
        <xdr:cNvPicPr>
          <a:picLocks noChangeAspect="1" noChangeArrowheads="1"/>
        </xdr:cNvPicPr>
      </xdr:nvPicPr>
      <xdr:blipFill>
        <a:blip xmlns:r="http://schemas.openxmlformats.org/officeDocument/2006/relationships" r:embed="rId1"/>
        <a:srcRect/>
        <a:stretch>
          <a:fillRect/>
        </a:stretch>
      </xdr:blipFill>
      <xdr:spPr bwMode="auto">
        <a:xfrm>
          <a:off x="15173325"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88900</xdr:colOff>
      <xdr:row>11</xdr:row>
      <xdr:rowOff>47625</xdr:rowOff>
    </xdr:to>
    <xdr:pic>
      <xdr:nvPicPr>
        <xdr:cNvPr id="5478" name="Picture 136"/>
        <xdr:cNvPicPr>
          <a:picLocks noChangeAspect="1" noChangeArrowheads="1"/>
        </xdr:cNvPicPr>
      </xdr:nvPicPr>
      <xdr:blipFill>
        <a:blip xmlns:r="http://schemas.openxmlformats.org/officeDocument/2006/relationships" r:embed="rId2"/>
        <a:srcRect/>
        <a:stretch>
          <a:fillRect/>
        </a:stretch>
      </xdr:blipFill>
      <xdr:spPr bwMode="auto">
        <a:xfrm>
          <a:off x="1081087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1857375</xdr:colOff>
      <xdr:row>3</xdr:row>
      <xdr:rowOff>57150</xdr:rowOff>
    </xdr:to>
    <xdr:pic>
      <xdr:nvPicPr>
        <xdr:cNvPr id="5479" name="Picture 392"/>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133350</xdr:rowOff>
    </xdr:to>
    <xdr:pic>
      <xdr:nvPicPr>
        <xdr:cNvPr id="5480" name="Picture 392"/>
        <xdr:cNvPicPr>
          <a:picLocks noChangeAspect="1" noChangeArrowheads="1"/>
        </xdr:cNvPicPr>
      </xdr:nvPicPr>
      <xdr:blipFill>
        <a:blip xmlns:r="http://schemas.openxmlformats.org/officeDocument/2006/relationships" r:embed="rId4"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14</xdr:col>
      <xdr:colOff>66675</xdr:colOff>
      <xdr:row>4</xdr:row>
      <xdr:rowOff>85725</xdr:rowOff>
    </xdr:from>
    <xdr:to>
      <xdr:col>21</xdr:col>
      <xdr:colOff>266700</xdr:colOff>
      <xdr:row>11</xdr:row>
      <xdr:rowOff>0</xdr:rowOff>
    </xdr:to>
    <xdr:pic>
      <xdr:nvPicPr>
        <xdr:cNvPr id="6" name="Picture 135"/>
        <xdr:cNvPicPr>
          <a:picLocks noChangeAspect="1" noChangeArrowheads="1"/>
        </xdr:cNvPicPr>
      </xdr:nvPicPr>
      <xdr:blipFill>
        <a:blip xmlns:r="http://schemas.openxmlformats.org/officeDocument/2006/relationships" r:embed="rId1"/>
        <a:srcRect/>
        <a:stretch>
          <a:fillRect/>
        </a:stretch>
      </xdr:blipFill>
      <xdr:spPr bwMode="auto">
        <a:xfrm>
          <a:off x="12877800"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314325</xdr:colOff>
      <xdr:row>11</xdr:row>
      <xdr:rowOff>47625</xdr:rowOff>
    </xdr:to>
    <xdr:pic>
      <xdr:nvPicPr>
        <xdr:cNvPr id="7" name="Picture 136"/>
        <xdr:cNvPicPr>
          <a:picLocks noChangeAspect="1" noChangeArrowheads="1"/>
        </xdr:cNvPicPr>
      </xdr:nvPicPr>
      <xdr:blipFill>
        <a:blip xmlns:r="http://schemas.openxmlformats.org/officeDocument/2006/relationships" r:embed="rId2"/>
        <a:srcRect/>
        <a:stretch>
          <a:fillRect/>
        </a:stretch>
      </xdr:blipFill>
      <xdr:spPr bwMode="auto">
        <a:xfrm>
          <a:off x="873442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1857375</xdr:colOff>
      <xdr:row>3</xdr:row>
      <xdr:rowOff>57150</xdr:rowOff>
    </xdr:to>
    <xdr:pic>
      <xdr:nvPicPr>
        <xdr:cNvPr id="8" name="Picture 392"/>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133350</xdr:rowOff>
    </xdr:to>
    <xdr:pic>
      <xdr:nvPicPr>
        <xdr:cNvPr id="9" name="Picture 392"/>
        <xdr:cNvPicPr>
          <a:picLocks noChangeAspect="1" noChangeArrowheads="1"/>
        </xdr:cNvPicPr>
      </xdr:nvPicPr>
      <xdr:blipFill>
        <a:blip xmlns:r="http://schemas.openxmlformats.org/officeDocument/2006/relationships" r:embed="rId4"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11</xdr:col>
      <xdr:colOff>180975</xdr:colOff>
      <xdr:row>3</xdr:row>
      <xdr:rowOff>47625</xdr:rowOff>
    </xdr:to>
    <xdr:pic>
      <xdr:nvPicPr>
        <xdr:cNvPr id="1229" name="Picture 392"/>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152400</xdr:colOff>
      <xdr:row>7</xdr:row>
      <xdr:rowOff>76200</xdr:rowOff>
    </xdr:from>
    <xdr:to>
      <xdr:col>12</xdr:col>
      <xdr:colOff>428625</xdr:colOff>
      <xdr:row>25</xdr:row>
      <xdr:rowOff>28575</xdr:rowOff>
    </xdr:to>
    <xdr:graphicFrame macro="">
      <xdr:nvGraphicFramePr>
        <xdr:cNvPr id="2651"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133350</xdr:colOff>
      <xdr:row>24</xdr:row>
      <xdr:rowOff>161925</xdr:rowOff>
    </xdr:from>
    <xdr:to>
      <xdr:col>12</xdr:col>
      <xdr:colOff>476250</xdr:colOff>
      <xdr:row>63</xdr:row>
      <xdr:rowOff>28575</xdr:rowOff>
    </xdr:to>
    <xdr:graphicFrame macro="">
      <xdr:nvGraphicFramePr>
        <xdr:cNvPr id="265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209550</xdr:colOff>
      <xdr:row>0</xdr:row>
      <xdr:rowOff>85725</xdr:rowOff>
    </xdr:from>
    <xdr:to>
      <xdr:col>8</xdr:col>
      <xdr:colOff>114300</xdr:colOff>
      <xdr:row>3</xdr:row>
      <xdr:rowOff>57150</xdr:rowOff>
    </xdr:to>
    <xdr:pic>
      <xdr:nvPicPr>
        <xdr:cNvPr id="2653" name="Picture 392"/>
        <xdr:cNvPicPr>
          <a:picLocks noChangeAspect="1" noChangeArrowheads="1"/>
        </xdr:cNvPicPr>
      </xdr:nvPicPr>
      <xdr:blipFill>
        <a:blip xmlns:r="http://schemas.openxmlformats.org/officeDocument/2006/relationships" r:embed="rId3" cstate="print"/>
        <a:srcRect/>
        <a:stretch>
          <a:fillRect/>
        </a:stretch>
      </xdr:blipFill>
      <xdr:spPr bwMode="auto">
        <a:xfrm>
          <a:off x="4048125" y="85725"/>
          <a:ext cx="1676400" cy="457200"/>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D23"/>
  <sheetViews>
    <sheetView showGridLines="0" workbookViewId="0">
      <selection activeCell="D4" sqref="D4"/>
    </sheetView>
  </sheetViews>
  <sheetFormatPr defaultColWidth="8.85546875" defaultRowHeight="12.75"/>
  <cols>
    <col min="1" max="1" width="8.85546875" customWidth="1"/>
    <col min="2" max="2" width="15.140625" customWidth="1"/>
    <col min="3" max="3" width="3.7109375" customWidth="1"/>
    <col min="4" max="4" width="59.42578125" customWidth="1"/>
  </cols>
  <sheetData>
    <row r="1" spans="1:4" ht="13.5" thickBot="1">
      <c r="A1" s="28"/>
    </row>
    <row r="2" spans="1:4">
      <c r="B2" s="9" t="s">
        <v>38</v>
      </c>
      <c r="C2" s="10" t="s">
        <v>47</v>
      </c>
      <c r="D2" s="11" t="s">
        <v>326</v>
      </c>
    </row>
    <row r="3" spans="1:4">
      <c r="B3" s="12" t="s">
        <v>39</v>
      </c>
      <c r="C3" s="13" t="s">
        <v>47</v>
      </c>
      <c r="D3" s="214">
        <v>0.96</v>
      </c>
    </row>
    <row r="4" spans="1:4">
      <c r="B4" s="12" t="s">
        <v>40</v>
      </c>
      <c r="C4" s="13" t="s">
        <v>47</v>
      </c>
      <c r="D4" s="14">
        <v>40751</v>
      </c>
    </row>
    <row r="5" spans="1:4">
      <c r="B5" s="12"/>
      <c r="C5" s="13"/>
      <c r="D5" s="15"/>
    </row>
    <row r="6" spans="1:4">
      <c r="B6" s="12" t="s">
        <v>42</v>
      </c>
      <c r="C6" s="13" t="s">
        <v>47</v>
      </c>
      <c r="D6" s="141" t="s">
        <v>207</v>
      </c>
    </row>
    <row r="7" spans="1:4">
      <c r="B7" s="12" t="s">
        <v>41</v>
      </c>
      <c r="C7" s="13" t="s">
        <v>47</v>
      </c>
      <c r="D7" s="15" t="s">
        <v>46</v>
      </c>
    </row>
    <row r="8" spans="1:4">
      <c r="B8" s="12"/>
      <c r="C8" s="13"/>
      <c r="D8" s="15"/>
    </row>
    <row r="9" spans="1:4" ht="25.5">
      <c r="B9" s="12" t="s">
        <v>43</v>
      </c>
      <c r="C9" s="13" t="s">
        <v>47</v>
      </c>
      <c r="D9" s="15" t="s">
        <v>213</v>
      </c>
    </row>
    <row r="10" spans="1:4">
      <c r="B10" s="12"/>
      <c r="C10" s="13"/>
      <c r="D10" s="15"/>
    </row>
    <row r="11" spans="1:4">
      <c r="B11" s="12" t="s">
        <v>58</v>
      </c>
      <c r="C11" s="13" t="s">
        <v>47</v>
      </c>
      <c r="D11" s="15"/>
    </row>
    <row r="12" spans="1:4">
      <c r="B12" s="12"/>
      <c r="C12" s="13"/>
      <c r="D12" s="15"/>
    </row>
    <row r="13" spans="1:4">
      <c r="B13" s="12" t="s">
        <v>44</v>
      </c>
      <c r="C13" s="13" t="s">
        <v>47</v>
      </c>
      <c r="D13" s="15"/>
    </row>
    <row r="14" spans="1:4">
      <c r="B14" s="12"/>
      <c r="C14" s="13"/>
      <c r="D14" s="15"/>
    </row>
    <row r="15" spans="1:4" ht="153">
      <c r="B15" s="12" t="s">
        <v>45</v>
      </c>
      <c r="C15" s="13" t="s">
        <v>47</v>
      </c>
      <c r="D15" s="15" t="s">
        <v>26</v>
      </c>
    </row>
    <row r="16" spans="1:4" ht="25.5">
      <c r="B16" s="12"/>
      <c r="C16" s="13"/>
      <c r="D16" s="15" t="s">
        <v>27</v>
      </c>
    </row>
    <row r="17" spans="1:4">
      <c r="B17" s="12"/>
      <c r="C17" s="13"/>
      <c r="D17" s="15"/>
    </row>
    <row r="18" spans="1:4">
      <c r="B18" s="12"/>
      <c r="C18" s="13"/>
      <c r="D18" s="15"/>
    </row>
    <row r="19" spans="1:4">
      <c r="B19" s="12"/>
      <c r="C19" s="13"/>
      <c r="D19" s="15" t="s">
        <v>244</v>
      </c>
    </row>
    <row r="20" spans="1:4" ht="13.5" thickBot="1">
      <c r="B20" s="16"/>
      <c r="C20" s="21"/>
      <c r="D20" s="17" t="s">
        <v>138</v>
      </c>
    </row>
    <row r="23" spans="1:4">
      <c r="A23" s="28"/>
    </row>
  </sheetData>
  <phoneticPr fontId="0" type="noConversion"/>
  <hyperlinks>
    <hyperlink ref="D6" r:id="rId1"/>
  </hyperlinks>
  <printOptions horizontalCentered="1" verticalCentered="1"/>
  <pageMargins left="0.25" right="0.25" top="0.25" bottom="0.25" header="0.5" footer="0.5"/>
  <pageSetup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58"/>
  <sheetViews>
    <sheetView topLeftCell="A5" workbookViewId="0">
      <selection activeCell="H8" sqref="H8"/>
    </sheetView>
  </sheetViews>
  <sheetFormatPr defaultRowHeight="12.75"/>
  <cols>
    <col min="1" max="1" width="4.140625" style="22" customWidth="1"/>
    <col min="2" max="2" width="5.42578125" style="22" customWidth="1"/>
    <col min="3" max="3" width="117" style="22" customWidth="1"/>
    <col min="4" max="4" width="4.42578125" style="22" customWidth="1"/>
    <col min="5" max="16384" width="9.140625" style="22"/>
  </cols>
  <sheetData>
    <row r="1" spans="1:3">
      <c r="A1" s="28"/>
      <c r="C1" s="28"/>
    </row>
    <row r="4" spans="1:3" ht="21.95" customHeight="1">
      <c r="A4" s="56" t="s">
        <v>139</v>
      </c>
      <c r="B4" s="41"/>
      <c r="C4" s="42"/>
    </row>
    <row r="5" spans="1:3" ht="15.75">
      <c r="B5" s="24" t="s">
        <v>214</v>
      </c>
    </row>
    <row r="6" spans="1:3" ht="15.75">
      <c r="B6" s="24"/>
      <c r="C6" s="22" t="s">
        <v>105</v>
      </c>
    </row>
    <row r="7" spans="1:3" s="25" customFormat="1">
      <c r="C7" s="23" t="s">
        <v>246</v>
      </c>
    </row>
    <row r="8" spans="1:3" s="25" customFormat="1" ht="25.5">
      <c r="C8" s="23" t="s">
        <v>247</v>
      </c>
    </row>
    <row r="9" spans="1:3" s="25" customFormat="1" ht="25.5">
      <c r="C9" s="23" t="s">
        <v>248</v>
      </c>
    </row>
    <row r="10" spans="1:3" s="25" customFormat="1">
      <c r="C10" s="23"/>
    </row>
    <row r="11" spans="1:3" s="25" customFormat="1" ht="15.75">
      <c r="B11" s="24" t="s">
        <v>215</v>
      </c>
    </row>
    <row r="12" spans="1:3" s="25" customFormat="1" ht="15.75" customHeight="1">
      <c r="C12" s="23" t="s">
        <v>250</v>
      </c>
    </row>
    <row r="13" spans="1:3" s="25" customFormat="1" ht="15.75" customHeight="1">
      <c r="C13" s="23" t="s">
        <v>252</v>
      </c>
    </row>
    <row r="14" spans="1:3" s="25" customFormat="1" ht="15.75" customHeight="1">
      <c r="C14" s="23" t="s">
        <v>251</v>
      </c>
    </row>
    <row r="15" spans="1:3" s="25" customFormat="1" ht="15.75" customHeight="1">
      <c r="C15" s="23" t="s">
        <v>253</v>
      </c>
    </row>
    <row r="16" spans="1:3">
      <c r="C16" s="23"/>
    </row>
    <row r="17" spans="2:6" ht="15.75">
      <c r="B17" s="24" t="s">
        <v>28</v>
      </c>
      <c r="C17" s="23"/>
    </row>
    <row r="18" spans="2:6" s="25" customFormat="1">
      <c r="C18" s="23" t="s">
        <v>249</v>
      </c>
    </row>
    <row r="19" spans="2:6" s="25" customFormat="1">
      <c r="C19" s="23" t="s">
        <v>5</v>
      </c>
    </row>
    <row r="20" spans="2:6" s="25" customFormat="1" ht="18" customHeight="1">
      <c r="C20" s="23" t="s">
        <v>140</v>
      </c>
    </row>
    <row r="21" spans="2:6" s="25" customFormat="1" ht="18" customHeight="1">
      <c r="C21" s="23" t="s">
        <v>305</v>
      </c>
      <c r="F21" s="25" t="s">
        <v>259</v>
      </c>
    </row>
    <row r="22" spans="2:6" s="25" customFormat="1" ht="18" customHeight="1">
      <c r="C22" s="23" t="s">
        <v>306</v>
      </c>
    </row>
    <row r="23" spans="2:6" s="25" customFormat="1" ht="18" customHeight="1">
      <c r="C23" s="23" t="s">
        <v>307</v>
      </c>
    </row>
    <row r="24" spans="2:6" s="25" customFormat="1" ht="18" customHeight="1">
      <c r="C24" s="23" t="s">
        <v>308</v>
      </c>
    </row>
    <row r="25" spans="2:6" s="25" customFormat="1" ht="29.25" customHeight="1">
      <c r="C25" s="186" t="s">
        <v>309</v>
      </c>
    </row>
    <row r="26" spans="2:6" s="25" customFormat="1" ht="16.5" customHeight="1">
      <c r="C26" s="23" t="s">
        <v>15</v>
      </c>
    </row>
    <row r="27" spans="2:6" s="25" customFormat="1" ht="30.75" customHeight="1">
      <c r="C27" s="23" t="s">
        <v>254</v>
      </c>
    </row>
    <row r="28" spans="2:6" s="25" customFormat="1" ht="30.75" customHeight="1">
      <c r="C28" s="23" t="s">
        <v>255</v>
      </c>
    </row>
    <row r="29" spans="2:6" s="25" customFormat="1" ht="30.75" customHeight="1">
      <c r="C29" s="23" t="s">
        <v>256</v>
      </c>
    </row>
    <row r="30" spans="2:6" s="25" customFormat="1" ht="30.75" customHeight="1">
      <c r="C30" s="23" t="s">
        <v>90</v>
      </c>
    </row>
    <row r="31" spans="2:6" s="25" customFormat="1" ht="30.75" customHeight="1">
      <c r="C31" s="23" t="s">
        <v>91</v>
      </c>
    </row>
    <row r="32" spans="2:6" s="25" customFormat="1" ht="18" customHeight="1">
      <c r="C32" s="23" t="s">
        <v>141</v>
      </c>
    </row>
    <row r="33" spans="2:3" s="25" customFormat="1" ht="30.75" customHeight="1">
      <c r="C33" s="23" t="s">
        <v>142</v>
      </c>
    </row>
    <row r="34" spans="2:3" s="25" customFormat="1" ht="30.75" customHeight="1">
      <c r="C34" s="23" t="s">
        <v>143</v>
      </c>
    </row>
    <row r="35" spans="2:3">
      <c r="C35" s="23"/>
    </row>
    <row r="36" spans="2:3" ht="15.75">
      <c r="B36" s="24" t="s">
        <v>7</v>
      </c>
      <c r="C36" s="23"/>
    </row>
    <row r="37" spans="2:3" ht="38.25">
      <c r="C37" s="23" t="s">
        <v>144</v>
      </c>
    </row>
    <row r="38" spans="2:3">
      <c r="C38" s="23"/>
    </row>
    <row r="39" spans="2:3" ht="15.75">
      <c r="B39" s="24" t="s">
        <v>8</v>
      </c>
      <c r="C39" s="23"/>
    </row>
    <row r="40" spans="2:3" ht="63.75">
      <c r="C40" s="23" t="s">
        <v>257</v>
      </c>
    </row>
    <row r="41" spans="2:3">
      <c r="C41" s="23"/>
    </row>
    <row r="42" spans="2:3">
      <c r="C42" s="23"/>
    </row>
    <row r="43" spans="2:3">
      <c r="C43" s="23"/>
    </row>
    <row r="44" spans="2:3">
      <c r="C44" s="23"/>
    </row>
    <row r="45" spans="2:3">
      <c r="C45" s="23"/>
    </row>
    <row r="46" spans="2:3">
      <c r="C46" s="23"/>
    </row>
    <row r="47" spans="2:3">
      <c r="C47" s="23"/>
    </row>
    <row r="48" spans="2:3">
      <c r="C48" s="23"/>
    </row>
    <row r="49" spans="3:3">
      <c r="C49" s="23"/>
    </row>
    <row r="50" spans="3:3">
      <c r="C50" s="23"/>
    </row>
    <row r="51" spans="3:3">
      <c r="C51" s="23"/>
    </row>
    <row r="52" spans="3:3">
      <c r="C52" s="23"/>
    </row>
    <row r="53" spans="3:3">
      <c r="C53" s="23"/>
    </row>
    <row r="54" spans="3:3">
      <c r="C54" s="23"/>
    </row>
    <row r="55" spans="3:3">
      <c r="C55" s="23"/>
    </row>
    <row r="56" spans="3:3">
      <c r="C56" s="23"/>
    </row>
    <row r="57" spans="3:3">
      <c r="C57" s="23"/>
    </row>
    <row r="58" spans="3:3">
      <c r="C58" s="23"/>
    </row>
  </sheetData>
  <phoneticPr fontId="0" type="noConversion"/>
  <printOptions horizontalCentered="1"/>
  <pageMargins left="0.5" right="0.5" top="1" bottom="0.25" header="0.5" footer="0.5"/>
  <pageSetup scale="6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L198"/>
  <sheetViews>
    <sheetView showGridLines="0" workbookViewId="0">
      <pane xSplit="7455" topLeftCell="O1" activePane="topRight"/>
      <selection activeCell="A41" sqref="A41:AK41"/>
      <selection pane="topRight" activeCell="P20" sqref="P20"/>
    </sheetView>
  </sheetViews>
  <sheetFormatPr defaultColWidth="8.85546875" defaultRowHeight="12.75"/>
  <cols>
    <col min="1" max="1" width="15.28515625" customWidth="1"/>
    <col min="2" max="2" width="38.28515625" style="33" customWidth="1"/>
    <col min="3" max="3" width="13.42578125" style="4" customWidth="1"/>
    <col min="4" max="4" width="9.140625" style="4" customWidth="1"/>
    <col min="5" max="13" width="9.140625" style="34" customWidth="1"/>
    <col min="14" max="14" width="1.42578125" style="34" customWidth="1"/>
    <col min="15" max="24" width="9.140625" style="34" customWidth="1"/>
    <col min="25" max="25" width="1.28515625" style="34" customWidth="1"/>
    <col min="26" max="35" width="9.140625" style="34" customWidth="1"/>
    <col min="36" max="36" width="1.28515625" style="34" customWidth="1"/>
    <col min="37" max="37" width="6.7109375" customWidth="1"/>
  </cols>
  <sheetData>
    <row r="1" spans="1:38">
      <c r="A1" s="28"/>
      <c r="B1"/>
      <c r="C1"/>
      <c r="D1"/>
      <c r="L1"/>
      <c r="M1"/>
    </row>
    <row r="2" spans="1:38">
      <c r="B2"/>
      <c r="C2"/>
      <c r="D2"/>
      <c r="L2"/>
      <c r="M2"/>
    </row>
    <row r="3" spans="1:38">
      <c r="B3"/>
      <c r="C3"/>
      <c r="D3"/>
      <c r="L3"/>
      <c r="M3"/>
    </row>
    <row r="4" spans="1:38" ht="17.100000000000001" customHeight="1">
      <c r="A4" s="48"/>
      <c r="B4" s="49"/>
      <c r="C4" s="48"/>
      <c r="D4" s="261" t="s">
        <v>164</v>
      </c>
      <c r="E4" s="261"/>
      <c r="F4" s="261"/>
      <c r="G4" s="261"/>
      <c r="H4" s="261"/>
      <c r="I4" s="261"/>
      <c r="J4" s="261"/>
      <c r="K4" s="261"/>
      <c r="L4" s="261"/>
      <c r="M4" s="261"/>
      <c r="N4" s="50"/>
      <c r="O4" s="261" t="s">
        <v>208</v>
      </c>
      <c r="P4" s="261"/>
      <c r="Q4" s="261"/>
      <c r="R4" s="261"/>
      <c r="S4" s="261"/>
      <c r="T4" s="261"/>
      <c r="U4" s="261"/>
      <c r="V4" s="261"/>
      <c r="W4" s="261"/>
      <c r="X4" s="261"/>
      <c r="Y4" s="50"/>
      <c r="Z4" s="261" t="s">
        <v>209</v>
      </c>
      <c r="AA4" s="261"/>
      <c r="AB4" s="261"/>
      <c r="AC4" s="261"/>
      <c r="AD4" s="261"/>
      <c r="AE4" s="261"/>
      <c r="AF4" s="261"/>
      <c r="AG4" s="261"/>
      <c r="AH4" s="261"/>
      <c r="AI4" s="261"/>
      <c r="AJ4" s="50"/>
      <c r="AK4" s="43"/>
    </row>
    <row r="5" spans="1:38" ht="17.100000000000001" customHeight="1">
      <c r="A5" s="72" t="s">
        <v>52</v>
      </c>
      <c r="B5" s="73" t="s">
        <v>53</v>
      </c>
      <c r="C5" s="72" t="s">
        <v>53</v>
      </c>
      <c r="D5" s="74" t="s">
        <v>265</v>
      </c>
      <c r="E5" s="74" t="s">
        <v>264</v>
      </c>
      <c r="F5" s="74" t="s">
        <v>263</v>
      </c>
      <c r="G5" s="74" t="s">
        <v>262</v>
      </c>
      <c r="H5" s="74" t="s">
        <v>261</v>
      </c>
      <c r="I5" s="74" t="s">
        <v>260</v>
      </c>
      <c r="J5" s="74" t="s">
        <v>212</v>
      </c>
      <c r="K5" s="74" t="s">
        <v>210</v>
      </c>
      <c r="L5" s="74" t="s">
        <v>211</v>
      </c>
      <c r="M5" s="74" t="s">
        <v>206</v>
      </c>
      <c r="N5" s="75"/>
      <c r="O5" s="74" t="s">
        <v>265</v>
      </c>
      <c r="P5" s="74" t="s">
        <v>264</v>
      </c>
      <c r="Q5" s="74" t="s">
        <v>263</v>
      </c>
      <c r="R5" s="74" t="s">
        <v>262</v>
      </c>
      <c r="S5" s="74" t="s">
        <v>261</v>
      </c>
      <c r="T5" s="74" t="s">
        <v>260</v>
      </c>
      <c r="U5" s="74" t="s">
        <v>212</v>
      </c>
      <c r="V5" s="74" t="s">
        <v>210</v>
      </c>
      <c r="W5" s="74" t="s">
        <v>211</v>
      </c>
      <c r="X5" s="74" t="s">
        <v>206</v>
      </c>
      <c r="Y5" s="75"/>
      <c r="Z5" s="74" t="s">
        <v>265</v>
      </c>
      <c r="AA5" s="74" t="s">
        <v>264</v>
      </c>
      <c r="AB5" s="74" t="s">
        <v>263</v>
      </c>
      <c r="AC5" s="74" t="s">
        <v>262</v>
      </c>
      <c r="AD5" s="74" t="s">
        <v>261</v>
      </c>
      <c r="AE5" s="74" t="s">
        <v>260</v>
      </c>
      <c r="AF5" s="74" t="s">
        <v>212</v>
      </c>
      <c r="AG5" s="74" t="s">
        <v>210</v>
      </c>
      <c r="AH5" s="74" t="s">
        <v>211</v>
      </c>
      <c r="AI5" s="74" t="s">
        <v>206</v>
      </c>
      <c r="AJ5" s="75"/>
      <c r="AK5" s="43"/>
    </row>
    <row r="6" spans="1:38" ht="15">
      <c r="A6" s="62"/>
      <c r="B6" s="267" t="s">
        <v>236</v>
      </c>
      <c r="C6" s="267"/>
      <c r="D6" s="76">
        <v>1.575</v>
      </c>
      <c r="E6" s="76">
        <v>1.575</v>
      </c>
      <c r="F6" s="76">
        <v>1.575</v>
      </c>
      <c r="G6" s="76">
        <v>1.575</v>
      </c>
      <c r="H6" s="76">
        <v>1.575</v>
      </c>
      <c r="I6" s="76">
        <v>1.575</v>
      </c>
      <c r="J6" s="76">
        <v>1.575</v>
      </c>
      <c r="K6" s="76">
        <v>1.575</v>
      </c>
      <c r="L6" s="76">
        <v>1.575</v>
      </c>
      <c r="M6" s="76">
        <v>1.575</v>
      </c>
      <c r="N6" s="77"/>
      <c r="O6" s="76">
        <v>1.575</v>
      </c>
      <c r="P6" s="76">
        <v>1.575</v>
      </c>
      <c r="Q6" s="76">
        <v>1.575</v>
      </c>
      <c r="R6" s="76">
        <v>1.575</v>
      </c>
      <c r="S6" s="76">
        <v>1.575</v>
      </c>
      <c r="T6" s="76">
        <v>1.575</v>
      </c>
      <c r="U6" s="76">
        <v>1.575</v>
      </c>
      <c r="V6" s="76">
        <v>1.575</v>
      </c>
      <c r="W6" s="76">
        <v>1.575</v>
      </c>
      <c r="X6" s="76">
        <v>1.575</v>
      </c>
      <c r="Y6" s="77"/>
      <c r="Z6" s="76">
        <v>1.575</v>
      </c>
      <c r="AA6" s="76">
        <v>1.575</v>
      </c>
      <c r="AB6" s="76">
        <v>1.575</v>
      </c>
      <c r="AC6" s="76">
        <v>1.575</v>
      </c>
      <c r="AD6" s="76">
        <v>1.575</v>
      </c>
      <c r="AE6" s="76">
        <v>1.575</v>
      </c>
      <c r="AF6" s="76">
        <v>1.575</v>
      </c>
      <c r="AG6" s="76">
        <v>1.575</v>
      </c>
      <c r="AH6" s="76">
        <v>1.575</v>
      </c>
      <c r="AI6" s="76">
        <v>1.575</v>
      </c>
      <c r="AJ6" s="77"/>
      <c r="AK6" s="46" t="s">
        <v>12</v>
      </c>
    </row>
    <row r="7" spans="1:38" ht="15">
      <c r="A7" s="62"/>
      <c r="B7" s="267" t="s">
        <v>237</v>
      </c>
      <c r="C7" s="267"/>
      <c r="D7" s="76">
        <v>1.425</v>
      </c>
      <c r="E7" s="76">
        <v>1.425</v>
      </c>
      <c r="F7" s="76">
        <v>1.425</v>
      </c>
      <c r="G7" s="76">
        <v>1.425</v>
      </c>
      <c r="H7" s="76">
        <v>1.425</v>
      </c>
      <c r="I7" s="76">
        <v>1.425</v>
      </c>
      <c r="J7" s="76">
        <v>1.425</v>
      </c>
      <c r="K7" s="76">
        <v>1.425</v>
      </c>
      <c r="L7" s="76">
        <v>1.425</v>
      </c>
      <c r="M7" s="76">
        <v>1.425</v>
      </c>
      <c r="N7" s="77"/>
      <c r="O7" s="76">
        <v>1.425</v>
      </c>
      <c r="P7" s="76">
        <v>1.425</v>
      </c>
      <c r="Q7" s="76">
        <v>1.425</v>
      </c>
      <c r="R7" s="76">
        <v>1.425</v>
      </c>
      <c r="S7" s="76">
        <v>1.425</v>
      </c>
      <c r="T7" s="76">
        <v>1.425</v>
      </c>
      <c r="U7" s="76">
        <v>1.425</v>
      </c>
      <c r="V7" s="76">
        <v>1.425</v>
      </c>
      <c r="W7" s="76">
        <v>1.425</v>
      </c>
      <c r="X7" s="76">
        <v>1.425</v>
      </c>
      <c r="Y7" s="77"/>
      <c r="Z7" s="76">
        <v>1.425</v>
      </c>
      <c r="AA7" s="76">
        <v>1.425</v>
      </c>
      <c r="AB7" s="76">
        <v>1.425</v>
      </c>
      <c r="AC7" s="76">
        <v>1.425</v>
      </c>
      <c r="AD7" s="76">
        <v>1.425</v>
      </c>
      <c r="AE7" s="76">
        <v>1.425</v>
      </c>
      <c r="AF7" s="76">
        <v>1.425</v>
      </c>
      <c r="AG7" s="76">
        <v>1.425</v>
      </c>
      <c r="AH7" s="76">
        <v>1.425</v>
      </c>
      <c r="AI7" s="76">
        <v>1.425</v>
      </c>
      <c r="AJ7" s="77"/>
      <c r="AK7" s="46" t="s">
        <v>12</v>
      </c>
    </row>
    <row r="8" spans="1:38" ht="15">
      <c r="A8" s="282"/>
      <c r="B8" s="283"/>
      <c r="C8" s="284"/>
      <c r="D8" s="139"/>
      <c r="E8" s="139"/>
      <c r="F8" s="139"/>
      <c r="G8" s="139"/>
      <c r="H8" s="139"/>
      <c r="I8" s="139"/>
      <c r="J8" s="139"/>
      <c r="K8" s="139"/>
      <c r="L8" s="78"/>
      <c r="M8" s="78"/>
      <c r="N8" s="77"/>
      <c r="O8" s="139"/>
      <c r="P8" s="139"/>
      <c r="Q8" s="139"/>
      <c r="R8" s="139"/>
      <c r="S8" s="139"/>
      <c r="T8" s="139"/>
      <c r="U8" s="139"/>
      <c r="V8" s="139"/>
      <c r="W8" s="139"/>
      <c r="X8" s="78"/>
      <c r="Y8" s="77"/>
      <c r="Z8" s="139"/>
      <c r="AA8" s="139"/>
      <c r="AB8" s="139"/>
      <c r="AC8" s="139"/>
      <c r="AD8" s="139"/>
      <c r="AE8" s="139"/>
      <c r="AF8" s="139"/>
      <c r="AG8" s="139"/>
      <c r="AH8" s="78"/>
      <c r="AI8" s="78"/>
      <c r="AJ8" s="77"/>
      <c r="AK8" s="47"/>
    </row>
    <row r="9" spans="1:38" ht="14.1" customHeight="1">
      <c r="A9" s="262" t="s">
        <v>226</v>
      </c>
      <c r="B9" s="277" t="s">
        <v>145</v>
      </c>
      <c r="C9" s="79" t="s">
        <v>100</v>
      </c>
      <c r="D9" s="163" t="s">
        <v>266</v>
      </c>
      <c r="E9" s="163" t="s">
        <v>266</v>
      </c>
      <c r="F9" s="80">
        <v>70</v>
      </c>
      <c r="G9" s="80">
        <v>70</v>
      </c>
      <c r="H9" s="80">
        <v>70</v>
      </c>
      <c r="I9" s="80">
        <v>70</v>
      </c>
      <c r="J9" s="80">
        <v>65</v>
      </c>
      <c r="K9" s="80">
        <v>60</v>
      </c>
      <c r="L9" s="80">
        <v>60</v>
      </c>
      <c r="M9" s="80">
        <v>55</v>
      </c>
      <c r="N9" s="82"/>
      <c r="O9" s="80">
        <v>120</v>
      </c>
      <c r="P9" s="80">
        <v>120</v>
      </c>
      <c r="Q9" s="80">
        <v>105</v>
      </c>
      <c r="R9" s="80">
        <v>105</v>
      </c>
      <c r="S9" s="80">
        <v>95</v>
      </c>
      <c r="T9" s="80">
        <v>95</v>
      </c>
      <c r="U9" s="80">
        <v>85</v>
      </c>
      <c r="V9" s="80">
        <v>75</v>
      </c>
      <c r="W9" s="80">
        <v>75</v>
      </c>
      <c r="X9" s="80">
        <v>70</v>
      </c>
      <c r="Y9" s="82"/>
      <c r="Z9" s="163" t="s">
        <v>266</v>
      </c>
      <c r="AA9" s="163" t="s">
        <v>266</v>
      </c>
      <c r="AB9" s="80">
        <v>85</v>
      </c>
      <c r="AC9" s="80">
        <v>85</v>
      </c>
      <c r="AD9" s="80">
        <v>75</v>
      </c>
      <c r="AE9" s="80">
        <v>75</v>
      </c>
      <c r="AF9" s="80">
        <v>65</v>
      </c>
      <c r="AG9" s="80">
        <v>60</v>
      </c>
      <c r="AH9" s="80">
        <v>60</v>
      </c>
      <c r="AI9" s="80">
        <v>55</v>
      </c>
      <c r="AJ9" s="82"/>
      <c r="AK9" s="46" t="s">
        <v>13</v>
      </c>
      <c r="AL9" s="164" t="s">
        <v>267</v>
      </c>
    </row>
    <row r="10" spans="1:38" ht="14.1" customHeight="1">
      <c r="A10" s="262"/>
      <c r="B10" s="278"/>
      <c r="C10" s="79" t="s">
        <v>101</v>
      </c>
      <c r="D10" s="163" t="s">
        <v>266</v>
      </c>
      <c r="E10" s="163" t="s">
        <v>266</v>
      </c>
      <c r="F10" s="80">
        <v>90</v>
      </c>
      <c r="G10" s="80">
        <v>90</v>
      </c>
      <c r="H10" s="80">
        <v>85</v>
      </c>
      <c r="I10" s="80">
        <v>85</v>
      </c>
      <c r="J10" s="80">
        <v>80</v>
      </c>
      <c r="K10" s="80">
        <v>75</v>
      </c>
      <c r="L10" s="80">
        <v>75</v>
      </c>
      <c r="M10" s="80">
        <v>70</v>
      </c>
      <c r="N10" s="82"/>
      <c r="O10" s="80">
        <v>135</v>
      </c>
      <c r="P10" s="80">
        <v>135</v>
      </c>
      <c r="Q10" s="80">
        <v>120</v>
      </c>
      <c r="R10" s="80">
        <v>120</v>
      </c>
      <c r="S10" s="80">
        <v>110</v>
      </c>
      <c r="T10" s="80">
        <v>110</v>
      </c>
      <c r="U10" s="80">
        <v>100</v>
      </c>
      <c r="V10" s="80">
        <v>90</v>
      </c>
      <c r="W10" s="80">
        <v>90</v>
      </c>
      <c r="X10" s="80">
        <v>80</v>
      </c>
      <c r="Y10" s="82"/>
      <c r="Z10" s="163" t="s">
        <v>266</v>
      </c>
      <c r="AA10" s="163" t="s">
        <v>266</v>
      </c>
      <c r="AB10" s="80">
        <v>100</v>
      </c>
      <c r="AC10" s="80">
        <v>100</v>
      </c>
      <c r="AD10" s="80">
        <v>90</v>
      </c>
      <c r="AE10" s="80">
        <v>90</v>
      </c>
      <c r="AF10" s="80">
        <v>80</v>
      </c>
      <c r="AG10" s="80">
        <v>75</v>
      </c>
      <c r="AH10" s="80">
        <v>75</v>
      </c>
      <c r="AI10" s="80">
        <v>70</v>
      </c>
      <c r="AJ10" s="82"/>
      <c r="AK10" s="46" t="s">
        <v>13</v>
      </c>
      <c r="AL10" s="164" t="s">
        <v>267</v>
      </c>
    </row>
    <row r="11" spans="1:38" ht="14.1" customHeight="1">
      <c r="A11" s="263" t="s">
        <v>227</v>
      </c>
      <c r="B11" s="273" t="s">
        <v>218</v>
      </c>
      <c r="C11" s="79" t="s">
        <v>100</v>
      </c>
      <c r="D11" s="163" t="s">
        <v>266</v>
      </c>
      <c r="E11" s="163" t="s">
        <v>266</v>
      </c>
      <c r="F11" s="80">
        <v>12</v>
      </c>
      <c r="G11" s="80">
        <v>12</v>
      </c>
      <c r="H11" s="80">
        <v>12</v>
      </c>
      <c r="I11" s="80">
        <v>12</v>
      </c>
      <c r="J11" s="80">
        <v>12</v>
      </c>
      <c r="K11" s="80">
        <v>12</v>
      </c>
      <c r="L11" s="80">
        <v>12</v>
      </c>
      <c r="M11" s="80">
        <v>12</v>
      </c>
      <c r="N11" s="82"/>
      <c r="O11" s="80">
        <v>15</v>
      </c>
      <c r="P11" s="80">
        <v>15</v>
      </c>
      <c r="Q11" s="80">
        <v>12</v>
      </c>
      <c r="R11" s="80">
        <v>12</v>
      </c>
      <c r="S11" s="80">
        <v>12</v>
      </c>
      <c r="T11" s="80">
        <v>12</v>
      </c>
      <c r="U11" s="80">
        <v>12</v>
      </c>
      <c r="V11" s="80">
        <v>12</v>
      </c>
      <c r="W11" s="80">
        <v>12</v>
      </c>
      <c r="X11" s="80">
        <v>12</v>
      </c>
      <c r="Y11" s="82"/>
      <c r="Z11" s="163" t="s">
        <v>266</v>
      </c>
      <c r="AA11" s="163" t="s">
        <v>266</v>
      </c>
      <c r="AB11" s="80">
        <v>20</v>
      </c>
      <c r="AC11" s="80">
        <v>20</v>
      </c>
      <c r="AD11" s="80">
        <v>20</v>
      </c>
      <c r="AE11" s="80">
        <v>20</v>
      </c>
      <c r="AF11" s="80">
        <v>20</v>
      </c>
      <c r="AG11" s="80">
        <v>20</v>
      </c>
      <c r="AH11" s="80">
        <v>20</v>
      </c>
      <c r="AI11" s="80">
        <v>20</v>
      </c>
      <c r="AJ11" s="82"/>
      <c r="AK11" s="46" t="s">
        <v>13</v>
      </c>
      <c r="AL11" s="164" t="s">
        <v>267</v>
      </c>
    </row>
    <row r="12" spans="1:38" ht="14.1" customHeight="1">
      <c r="A12" s="264"/>
      <c r="B12" s="274"/>
      <c r="C12" s="79" t="s">
        <v>101</v>
      </c>
      <c r="D12" s="163" t="s">
        <v>266</v>
      </c>
      <c r="E12" s="163" t="s">
        <v>266</v>
      </c>
      <c r="F12" s="80">
        <v>12</v>
      </c>
      <c r="G12" s="80">
        <v>12</v>
      </c>
      <c r="H12" s="80">
        <v>12</v>
      </c>
      <c r="I12" s="80">
        <v>12</v>
      </c>
      <c r="J12" s="80">
        <v>12</v>
      </c>
      <c r="K12" s="80">
        <v>12</v>
      </c>
      <c r="L12" s="80">
        <v>12</v>
      </c>
      <c r="M12" s="80">
        <v>12</v>
      </c>
      <c r="N12" s="82"/>
      <c r="O12" s="80">
        <v>15</v>
      </c>
      <c r="P12" s="80">
        <v>15</v>
      </c>
      <c r="Q12" s="80">
        <v>12</v>
      </c>
      <c r="R12" s="80">
        <v>12</v>
      </c>
      <c r="S12" s="80">
        <v>12</v>
      </c>
      <c r="T12" s="80">
        <v>12</v>
      </c>
      <c r="U12" s="80">
        <v>12</v>
      </c>
      <c r="V12" s="80">
        <v>12</v>
      </c>
      <c r="W12" s="80">
        <v>12</v>
      </c>
      <c r="X12" s="80">
        <v>12</v>
      </c>
      <c r="Y12" s="82"/>
      <c r="Z12" s="163" t="s">
        <v>266</v>
      </c>
      <c r="AA12" s="163" t="s">
        <v>266</v>
      </c>
      <c r="AB12" s="80">
        <v>20</v>
      </c>
      <c r="AC12" s="80">
        <v>20</v>
      </c>
      <c r="AD12" s="80">
        <v>20</v>
      </c>
      <c r="AE12" s="80">
        <v>20</v>
      </c>
      <c r="AF12" s="80">
        <v>20</v>
      </c>
      <c r="AG12" s="80">
        <v>20</v>
      </c>
      <c r="AH12" s="80">
        <v>20</v>
      </c>
      <c r="AI12" s="80">
        <v>20</v>
      </c>
      <c r="AJ12" s="82"/>
      <c r="AK12" s="46" t="s">
        <v>13</v>
      </c>
      <c r="AL12" s="164" t="s">
        <v>267</v>
      </c>
    </row>
    <row r="13" spans="1:38" ht="14.1" customHeight="1">
      <c r="A13" s="263" t="s">
        <v>228</v>
      </c>
      <c r="B13" s="273" t="s">
        <v>220</v>
      </c>
      <c r="C13" s="79" t="s">
        <v>100</v>
      </c>
      <c r="D13" s="163" t="s">
        <v>266</v>
      </c>
      <c r="E13" s="163" t="s">
        <v>266</v>
      </c>
      <c r="F13" s="80">
        <v>35</v>
      </c>
      <c r="G13" s="80">
        <v>35</v>
      </c>
      <c r="H13" s="80">
        <v>30</v>
      </c>
      <c r="I13" s="80">
        <v>30</v>
      </c>
      <c r="J13" s="80">
        <v>30</v>
      </c>
      <c r="K13" s="80">
        <v>25</v>
      </c>
      <c r="L13" s="80">
        <v>25</v>
      </c>
      <c r="M13" s="80">
        <v>25</v>
      </c>
      <c r="N13" s="82"/>
      <c r="O13" s="80">
        <v>45</v>
      </c>
      <c r="P13" s="80">
        <v>45</v>
      </c>
      <c r="Q13" s="80">
        <v>40</v>
      </c>
      <c r="R13" s="80">
        <v>40</v>
      </c>
      <c r="S13" s="80">
        <v>35</v>
      </c>
      <c r="T13" s="80">
        <v>35</v>
      </c>
      <c r="U13" s="80">
        <v>30</v>
      </c>
      <c r="V13" s="80">
        <v>25</v>
      </c>
      <c r="W13" s="80">
        <v>25</v>
      </c>
      <c r="X13" s="80">
        <v>20</v>
      </c>
      <c r="Y13" s="82"/>
      <c r="Z13" s="163" t="s">
        <v>266</v>
      </c>
      <c r="AA13" s="163" t="s">
        <v>266</v>
      </c>
      <c r="AB13" s="80">
        <v>42</v>
      </c>
      <c r="AC13" s="80">
        <v>42</v>
      </c>
      <c r="AD13" s="80">
        <v>37</v>
      </c>
      <c r="AE13" s="80">
        <v>37</v>
      </c>
      <c r="AF13" s="80">
        <v>32</v>
      </c>
      <c r="AG13" s="80">
        <v>30</v>
      </c>
      <c r="AH13" s="80">
        <v>30</v>
      </c>
      <c r="AI13" s="80">
        <v>30</v>
      </c>
      <c r="AJ13" s="82"/>
      <c r="AK13" s="46" t="s">
        <v>13</v>
      </c>
      <c r="AL13" s="164" t="s">
        <v>267</v>
      </c>
    </row>
    <row r="14" spans="1:38" ht="14.1" customHeight="1">
      <c r="A14" s="264"/>
      <c r="B14" s="274"/>
      <c r="C14" s="79" t="s">
        <v>101</v>
      </c>
      <c r="D14" s="163" t="s">
        <v>266</v>
      </c>
      <c r="E14" s="163" t="s">
        <v>266</v>
      </c>
      <c r="F14" s="80">
        <v>35</v>
      </c>
      <c r="G14" s="80">
        <v>35</v>
      </c>
      <c r="H14" s="80">
        <v>30</v>
      </c>
      <c r="I14" s="80">
        <v>30</v>
      </c>
      <c r="J14" s="80">
        <v>30</v>
      </c>
      <c r="K14" s="80">
        <v>25</v>
      </c>
      <c r="L14" s="80">
        <v>25</v>
      </c>
      <c r="M14" s="80">
        <v>25</v>
      </c>
      <c r="N14" s="82"/>
      <c r="O14" s="80">
        <v>50</v>
      </c>
      <c r="P14" s="80">
        <v>50</v>
      </c>
      <c r="Q14" s="80">
        <v>45</v>
      </c>
      <c r="R14" s="80">
        <v>45</v>
      </c>
      <c r="S14" s="80">
        <v>40</v>
      </c>
      <c r="T14" s="80">
        <v>40</v>
      </c>
      <c r="U14" s="80">
        <v>35</v>
      </c>
      <c r="V14" s="80">
        <v>30</v>
      </c>
      <c r="W14" s="80">
        <v>30</v>
      </c>
      <c r="X14" s="80">
        <v>25</v>
      </c>
      <c r="Y14" s="82"/>
      <c r="Z14" s="163" t="s">
        <v>266</v>
      </c>
      <c r="AA14" s="163" t="s">
        <v>266</v>
      </c>
      <c r="AB14" s="80">
        <v>42</v>
      </c>
      <c r="AC14" s="80">
        <v>42</v>
      </c>
      <c r="AD14" s="80">
        <v>37</v>
      </c>
      <c r="AE14" s="80">
        <v>37</v>
      </c>
      <c r="AF14" s="80">
        <v>32</v>
      </c>
      <c r="AG14" s="80">
        <v>30</v>
      </c>
      <c r="AH14" s="80">
        <v>30</v>
      </c>
      <c r="AI14" s="80">
        <v>20</v>
      </c>
      <c r="AJ14" s="82"/>
      <c r="AK14" s="46" t="s">
        <v>13</v>
      </c>
      <c r="AL14" s="164" t="s">
        <v>267</v>
      </c>
    </row>
    <row r="15" spans="1:38" ht="14.1" customHeight="1">
      <c r="A15" s="265" t="s">
        <v>229</v>
      </c>
      <c r="B15" s="277" t="s">
        <v>147</v>
      </c>
      <c r="C15" s="79" t="s">
        <v>100</v>
      </c>
      <c r="D15" s="163" t="s">
        <v>266</v>
      </c>
      <c r="E15" s="163" t="s">
        <v>266</v>
      </c>
      <c r="F15" s="80">
        <v>50</v>
      </c>
      <c r="G15" s="80">
        <v>50</v>
      </c>
      <c r="H15" s="80">
        <v>45</v>
      </c>
      <c r="I15" s="80">
        <v>45</v>
      </c>
      <c r="J15" s="80">
        <v>40</v>
      </c>
      <c r="K15" s="80">
        <v>35</v>
      </c>
      <c r="L15" s="80">
        <v>35</v>
      </c>
      <c r="M15" s="80">
        <v>30</v>
      </c>
      <c r="N15" s="82"/>
      <c r="O15" s="80">
        <v>52</v>
      </c>
      <c r="P15" s="80">
        <v>52</v>
      </c>
      <c r="Q15" s="80">
        <v>47</v>
      </c>
      <c r="R15" s="80">
        <v>47</v>
      </c>
      <c r="S15" s="80">
        <v>42</v>
      </c>
      <c r="T15" s="80">
        <v>42</v>
      </c>
      <c r="U15" s="80">
        <v>37</v>
      </c>
      <c r="V15" s="80">
        <v>32</v>
      </c>
      <c r="W15" s="80">
        <v>32</v>
      </c>
      <c r="X15" s="80">
        <v>27</v>
      </c>
      <c r="Y15" s="82"/>
      <c r="Z15" s="163" t="s">
        <v>266</v>
      </c>
      <c r="AA15" s="163" t="s">
        <v>266</v>
      </c>
      <c r="AB15" s="80">
        <v>55</v>
      </c>
      <c r="AC15" s="80">
        <v>55</v>
      </c>
      <c r="AD15" s="80">
        <v>50</v>
      </c>
      <c r="AE15" s="80">
        <v>50</v>
      </c>
      <c r="AF15" s="80">
        <v>45</v>
      </c>
      <c r="AG15" s="80">
        <v>42</v>
      </c>
      <c r="AH15" s="80">
        <v>42</v>
      </c>
      <c r="AI15" s="80">
        <v>40</v>
      </c>
      <c r="AJ15" s="82"/>
      <c r="AK15" s="46" t="s">
        <v>13</v>
      </c>
      <c r="AL15" s="164" t="s">
        <v>267</v>
      </c>
    </row>
    <row r="16" spans="1:38" ht="14.1" customHeight="1">
      <c r="A16" s="266"/>
      <c r="B16" s="278"/>
      <c r="C16" s="79" t="s">
        <v>101</v>
      </c>
      <c r="D16" s="163" t="s">
        <v>266</v>
      </c>
      <c r="E16" s="163" t="s">
        <v>266</v>
      </c>
      <c r="F16" s="80">
        <v>50</v>
      </c>
      <c r="G16" s="80">
        <v>50</v>
      </c>
      <c r="H16" s="80">
        <v>45</v>
      </c>
      <c r="I16" s="80">
        <v>45</v>
      </c>
      <c r="J16" s="80">
        <v>40</v>
      </c>
      <c r="K16" s="80">
        <v>35</v>
      </c>
      <c r="L16" s="80">
        <v>35</v>
      </c>
      <c r="M16" s="80">
        <v>30</v>
      </c>
      <c r="N16" s="82"/>
      <c r="O16" s="80">
        <v>52</v>
      </c>
      <c r="P16" s="80">
        <v>52</v>
      </c>
      <c r="Q16" s="80">
        <v>47</v>
      </c>
      <c r="R16" s="80">
        <v>47</v>
      </c>
      <c r="S16" s="80">
        <v>42</v>
      </c>
      <c r="T16" s="80">
        <v>42</v>
      </c>
      <c r="U16" s="80">
        <v>37</v>
      </c>
      <c r="V16" s="80">
        <v>32</v>
      </c>
      <c r="W16" s="80">
        <v>32</v>
      </c>
      <c r="X16" s="80">
        <v>27</v>
      </c>
      <c r="Y16" s="82"/>
      <c r="Z16" s="163" t="s">
        <v>266</v>
      </c>
      <c r="AA16" s="163" t="s">
        <v>266</v>
      </c>
      <c r="AB16" s="80">
        <v>55</v>
      </c>
      <c r="AC16" s="80">
        <v>55</v>
      </c>
      <c r="AD16" s="80">
        <v>50</v>
      </c>
      <c r="AE16" s="80">
        <v>50</v>
      </c>
      <c r="AF16" s="80">
        <v>45</v>
      </c>
      <c r="AG16" s="80">
        <v>42</v>
      </c>
      <c r="AH16" s="80">
        <v>42</v>
      </c>
      <c r="AI16" s="80">
        <v>40</v>
      </c>
      <c r="AJ16" s="82"/>
      <c r="AK16" s="46" t="s">
        <v>13</v>
      </c>
      <c r="AL16" s="164" t="s">
        <v>267</v>
      </c>
    </row>
    <row r="17" spans="1:38" ht="14.1" customHeight="1">
      <c r="A17" s="262" t="s">
        <v>230</v>
      </c>
      <c r="B17" s="267" t="s">
        <v>219</v>
      </c>
      <c r="C17" s="79" t="s">
        <v>100</v>
      </c>
      <c r="D17" s="163" t="s">
        <v>266</v>
      </c>
      <c r="E17" s="163" t="s">
        <v>266</v>
      </c>
      <c r="F17" s="80">
        <v>35</v>
      </c>
      <c r="G17" s="80">
        <v>35</v>
      </c>
      <c r="H17" s="80">
        <v>35</v>
      </c>
      <c r="I17" s="80">
        <v>35</v>
      </c>
      <c r="J17" s="80">
        <v>30</v>
      </c>
      <c r="K17" s="80">
        <v>30</v>
      </c>
      <c r="L17" s="80">
        <v>30</v>
      </c>
      <c r="M17" s="80">
        <v>25</v>
      </c>
      <c r="N17" s="82"/>
      <c r="O17" s="80">
        <v>50</v>
      </c>
      <c r="P17" s="80">
        <v>50</v>
      </c>
      <c r="Q17" s="80">
        <v>45</v>
      </c>
      <c r="R17" s="80">
        <v>45</v>
      </c>
      <c r="S17" s="80">
        <v>40</v>
      </c>
      <c r="T17" s="80">
        <v>40</v>
      </c>
      <c r="U17" s="80">
        <v>35</v>
      </c>
      <c r="V17" s="80">
        <v>30</v>
      </c>
      <c r="W17" s="80">
        <v>30</v>
      </c>
      <c r="X17" s="80">
        <v>25</v>
      </c>
      <c r="Y17" s="82"/>
      <c r="Z17" s="163" t="s">
        <v>266</v>
      </c>
      <c r="AA17" s="163" t="s">
        <v>266</v>
      </c>
      <c r="AB17" s="80">
        <v>65</v>
      </c>
      <c r="AC17" s="80">
        <v>65</v>
      </c>
      <c r="AD17" s="80">
        <v>60</v>
      </c>
      <c r="AE17" s="80">
        <v>60</v>
      </c>
      <c r="AF17" s="80">
        <v>55</v>
      </c>
      <c r="AG17" s="80">
        <v>50</v>
      </c>
      <c r="AH17" s="80">
        <v>50</v>
      </c>
      <c r="AI17" s="80">
        <v>45</v>
      </c>
      <c r="AJ17" s="82"/>
      <c r="AK17" s="46" t="s">
        <v>13</v>
      </c>
      <c r="AL17" s="164" t="s">
        <v>267</v>
      </c>
    </row>
    <row r="18" spans="1:38" ht="14.1" customHeight="1">
      <c r="A18" s="262"/>
      <c r="B18" s="267"/>
      <c r="C18" s="79" t="s">
        <v>101</v>
      </c>
      <c r="D18" s="163" t="s">
        <v>266</v>
      </c>
      <c r="E18" s="163" t="s">
        <v>266</v>
      </c>
      <c r="F18" s="80">
        <v>35</v>
      </c>
      <c r="G18" s="80">
        <v>35</v>
      </c>
      <c r="H18" s="80">
        <v>35</v>
      </c>
      <c r="I18" s="80">
        <v>35</v>
      </c>
      <c r="J18" s="80">
        <v>30</v>
      </c>
      <c r="K18" s="80">
        <v>30</v>
      </c>
      <c r="L18" s="80">
        <v>30</v>
      </c>
      <c r="M18" s="80">
        <v>25</v>
      </c>
      <c r="N18" s="82"/>
      <c r="O18" s="80">
        <v>55</v>
      </c>
      <c r="P18" s="80">
        <v>55</v>
      </c>
      <c r="Q18" s="80">
        <v>50</v>
      </c>
      <c r="R18" s="80">
        <v>50</v>
      </c>
      <c r="S18" s="80">
        <v>45</v>
      </c>
      <c r="T18" s="80">
        <v>45</v>
      </c>
      <c r="U18" s="80">
        <v>40</v>
      </c>
      <c r="V18" s="80">
        <v>35</v>
      </c>
      <c r="W18" s="80">
        <v>35</v>
      </c>
      <c r="X18" s="80">
        <v>30</v>
      </c>
      <c r="Y18" s="82"/>
      <c r="Z18" s="163" t="s">
        <v>266</v>
      </c>
      <c r="AA18" s="163" t="s">
        <v>266</v>
      </c>
      <c r="AB18" s="80">
        <v>65</v>
      </c>
      <c r="AC18" s="80">
        <v>65</v>
      </c>
      <c r="AD18" s="80">
        <v>60</v>
      </c>
      <c r="AE18" s="80">
        <v>60</v>
      </c>
      <c r="AF18" s="80">
        <v>55</v>
      </c>
      <c r="AG18" s="80">
        <v>50</v>
      </c>
      <c r="AH18" s="80">
        <v>50</v>
      </c>
      <c r="AI18" s="80">
        <v>45</v>
      </c>
      <c r="AJ18" s="82"/>
      <c r="AK18" s="46" t="s">
        <v>13</v>
      </c>
      <c r="AL18" s="164" t="s">
        <v>267</v>
      </c>
    </row>
    <row r="19" spans="1:38" ht="14.1" customHeight="1">
      <c r="A19" s="262" t="s">
        <v>231</v>
      </c>
      <c r="B19" s="271" t="s">
        <v>149</v>
      </c>
      <c r="C19" s="79" t="s">
        <v>100</v>
      </c>
      <c r="D19" s="163" t="s">
        <v>266</v>
      </c>
      <c r="E19" s="163" t="s">
        <v>266</v>
      </c>
      <c r="F19" s="80">
        <v>50</v>
      </c>
      <c r="G19" s="80">
        <v>50</v>
      </c>
      <c r="H19" s="80">
        <v>45</v>
      </c>
      <c r="I19" s="80">
        <v>45</v>
      </c>
      <c r="J19" s="80">
        <v>40</v>
      </c>
      <c r="K19" s="80">
        <v>40</v>
      </c>
      <c r="L19" s="80">
        <v>40</v>
      </c>
      <c r="M19" s="80">
        <v>35</v>
      </c>
      <c r="N19" s="82"/>
      <c r="O19" s="80">
        <v>55</v>
      </c>
      <c r="P19" s="80">
        <v>55</v>
      </c>
      <c r="Q19" s="80">
        <v>50</v>
      </c>
      <c r="R19" s="80">
        <v>50</v>
      </c>
      <c r="S19" s="80">
        <v>45</v>
      </c>
      <c r="T19" s="80">
        <v>45</v>
      </c>
      <c r="U19" s="80">
        <v>40</v>
      </c>
      <c r="V19" s="80">
        <v>35</v>
      </c>
      <c r="W19" s="80">
        <v>35</v>
      </c>
      <c r="X19" s="80">
        <v>30</v>
      </c>
      <c r="Y19" s="82"/>
      <c r="Z19" s="163" t="s">
        <v>266</v>
      </c>
      <c r="AA19" s="163" t="s">
        <v>266</v>
      </c>
      <c r="AB19" s="80">
        <v>62</v>
      </c>
      <c r="AC19" s="80">
        <v>62</v>
      </c>
      <c r="AD19" s="80">
        <v>57</v>
      </c>
      <c r="AE19" s="80">
        <v>57</v>
      </c>
      <c r="AF19" s="80">
        <v>52</v>
      </c>
      <c r="AG19" s="80">
        <v>47</v>
      </c>
      <c r="AH19" s="80">
        <v>47</v>
      </c>
      <c r="AI19" s="80">
        <v>42</v>
      </c>
      <c r="AJ19" s="82"/>
      <c r="AK19" s="46" t="s">
        <v>13</v>
      </c>
      <c r="AL19" s="164" t="s">
        <v>267</v>
      </c>
    </row>
    <row r="20" spans="1:38" ht="14.1" customHeight="1">
      <c r="A20" s="262"/>
      <c r="B20" s="271"/>
      <c r="C20" s="79" t="s">
        <v>101</v>
      </c>
      <c r="D20" s="163" t="s">
        <v>266</v>
      </c>
      <c r="E20" s="163" t="s">
        <v>266</v>
      </c>
      <c r="F20" s="80">
        <v>55</v>
      </c>
      <c r="G20" s="80">
        <v>55</v>
      </c>
      <c r="H20" s="80">
        <v>50</v>
      </c>
      <c r="I20" s="80">
        <v>50</v>
      </c>
      <c r="J20" s="80">
        <v>45</v>
      </c>
      <c r="K20" s="80">
        <v>45</v>
      </c>
      <c r="L20" s="80">
        <v>45</v>
      </c>
      <c r="M20" s="80">
        <v>40</v>
      </c>
      <c r="N20" s="82"/>
      <c r="O20" s="80">
        <v>55</v>
      </c>
      <c r="P20" s="80">
        <v>55</v>
      </c>
      <c r="Q20" s="80">
        <v>50</v>
      </c>
      <c r="R20" s="80">
        <v>50</v>
      </c>
      <c r="S20" s="80">
        <v>45</v>
      </c>
      <c r="T20" s="80">
        <v>45</v>
      </c>
      <c r="U20" s="80">
        <v>40</v>
      </c>
      <c r="V20" s="80">
        <v>35</v>
      </c>
      <c r="W20" s="80">
        <v>35</v>
      </c>
      <c r="X20" s="80">
        <v>30</v>
      </c>
      <c r="Y20" s="82"/>
      <c r="Z20" s="163" t="s">
        <v>266</v>
      </c>
      <c r="AA20" s="163" t="s">
        <v>266</v>
      </c>
      <c r="AB20" s="80">
        <v>75</v>
      </c>
      <c r="AC20" s="80">
        <v>75</v>
      </c>
      <c r="AD20" s="80">
        <v>70</v>
      </c>
      <c r="AE20" s="80">
        <v>70</v>
      </c>
      <c r="AF20" s="80">
        <v>65</v>
      </c>
      <c r="AG20" s="80">
        <v>60</v>
      </c>
      <c r="AH20" s="80">
        <v>60</v>
      </c>
      <c r="AI20" s="80">
        <v>42</v>
      </c>
      <c r="AJ20" s="82"/>
      <c r="AK20" s="46" t="s">
        <v>13</v>
      </c>
      <c r="AL20" s="164" t="s">
        <v>267</v>
      </c>
    </row>
    <row r="21" spans="1:38" ht="14.1" customHeight="1">
      <c r="A21" s="262" t="s">
        <v>232</v>
      </c>
      <c r="B21" s="267" t="s">
        <v>150</v>
      </c>
      <c r="C21" s="79" t="s">
        <v>102</v>
      </c>
      <c r="D21" s="163" t="s">
        <v>266</v>
      </c>
      <c r="E21" s="163" t="s">
        <v>266</v>
      </c>
      <c r="F21" s="80">
        <v>155</v>
      </c>
      <c r="G21" s="80">
        <v>155</v>
      </c>
      <c r="H21" s="80">
        <v>140</v>
      </c>
      <c r="I21" s="80">
        <v>140</v>
      </c>
      <c r="J21" s="80">
        <v>125</v>
      </c>
      <c r="K21" s="80">
        <v>105</v>
      </c>
      <c r="L21" s="80">
        <v>105</v>
      </c>
      <c r="M21" s="80">
        <v>90</v>
      </c>
      <c r="N21" s="82"/>
      <c r="O21" s="80">
        <v>210</v>
      </c>
      <c r="P21" s="80">
        <v>210</v>
      </c>
      <c r="Q21" s="80">
        <v>185</v>
      </c>
      <c r="R21" s="80">
        <v>185</v>
      </c>
      <c r="S21" s="80">
        <v>165</v>
      </c>
      <c r="T21" s="80">
        <v>165</v>
      </c>
      <c r="U21" s="80">
        <v>145</v>
      </c>
      <c r="V21" s="80">
        <v>125</v>
      </c>
      <c r="W21" s="80">
        <v>125</v>
      </c>
      <c r="X21" s="80">
        <v>110</v>
      </c>
      <c r="Y21" s="82"/>
      <c r="Z21" s="163" t="s">
        <v>266</v>
      </c>
      <c r="AA21" s="163" t="s">
        <v>266</v>
      </c>
      <c r="AB21" s="80">
        <v>195</v>
      </c>
      <c r="AC21" s="80">
        <v>195</v>
      </c>
      <c r="AD21" s="80">
        <v>175</v>
      </c>
      <c r="AE21" s="80">
        <v>175</v>
      </c>
      <c r="AF21" s="80">
        <v>155</v>
      </c>
      <c r="AG21" s="80">
        <v>135</v>
      </c>
      <c r="AH21" s="80">
        <v>135</v>
      </c>
      <c r="AI21" s="80">
        <v>120</v>
      </c>
      <c r="AJ21" s="82"/>
      <c r="AK21" s="46" t="s">
        <v>13</v>
      </c>
      <c r="AL21" s="164" t="s">
        <v>267</v>
      </c>
    </row>
    <row r="22" spans="1:38" ht="14.1" customHeight="1">
      <c r="A22" s="262"/>
      <c r="B22" s="267"/>
      <c r="C22" s="79" t="s">
        <v>103</v>
      </c>
      <c r="D22" s="163" t="s">
        <v>266</v>
      </c>
      <c r="E22" s="163" t="s">
        <v>266</v>
      </c>
      <c r="F22" s="80">
        <v>155</v>
      </c>
      <c r="G22" s="80">
        <v>155</v>
      </c>
      <c r="H22" s="80">
        <v>140</v>
      </c>
      <c r="I22" s="80">
        <v>140</v>
      </c>
      <c r="J22" s="80">
        <v>125</v>
      </c>
      <c r="K22" s="80">
        <v>105</v>
      </c>
      <c r="L22" s="80">
        <v>105</v>
      </c>
      <c r="M22" s="80">
        <v>90</v>
      </c>
      <c r="N22" s="82"/>
      <c r="O22" s="80">
        <v>220</v>
      </c>
      <c r="P22" s="80">
        <v>220</v>
      </c>
      <c r="Q22" s="80">
        <v>200</v>
      </c>
      <c r="R22" s="80">
        <v>200</v>
      </c>
      <c r="S22" s="80">
        <v>180</v>
      </c>
      <c r="T22" s="80">
        <v>180</v>
      </c>
      <c r="U22" s="80">
        <v>160</v>
      </c>
      <c r="V22" s="80">
        <v>140</v>
      </c>
      <c r="W22" s="80">
        <v>140</v>
      </c>
      <c r="X22" s="80">
        <v>120</v>
      </c>
      <c r="Y22" s="82"/>
      <c r="Z22" s="163" t="s">
        <v>266</v>
      </c>
      <c r="AA22" s="163" t="s">
        <v>266</v>
      </c>
      <c r="AB22" s="80">
        <v>207</v>
      </c>
      <c r="AC22" s="80">
        <v>207</v>
      </c>
      <c r="AD22" s="80">
        <v>187</v>
      </c>
      <c r="AE22" s="80">
        <v>187</v>
      </c>
      <c r="AF22" s="80">
        <v>167</v>
      </c>
      <c r="AG22" s="80">
        <v>147</v>
      </c>
      <c r="AH22" s="80">
        <v>147</v>
      </c>
      <c r="AI22" s="80">
        <v>120</v>
      </c>
      <c r="AJ22" s="82"/>
      <c r="AK22" s="46" t="s">
        <v>13</v>
      </c>
      <c r="AL22" s="164" t="s">
        <v>267</v>
      </c>
    </row>
    <row r="23" spans="1:38" ht="14.1" customHeight="1">
      <c r="A23" s="262"/>
      <c r="B23" s="267"/>
      <c r="C23" s="79" t="s">
        <v>101</v>
      </c>
      <c r="D23" s="163" t="s">
        <v>266</v>
      </c>
      <c r="E23" s="163" t="s">
        <v>266</v>
      </c>
      <c r="F23" s="80">
        <v>215</v>
      </c>
      <c r="G23" s="80">
        <v>215</v>
      </c>
      <c r="H23" s="80">
        <v>190</v>
      </c>
      <c r="I23" s="80">
        <v>190</v>
      </c>
      <c r="J23" s="80">
        <v>165</v>
      </c>
      <c r="K23" s="80">
        <v>140</v>
      </c>
      <c r="L23" s="80">
        <v>140</v>
      </c>
      <c r="M23" s="80">
        <v>125</v>
      </c>
      <c r="N23" s="82"/>
      <c r="O23" s="80">
        <v>320</v>
      </c>
      <c r="P23" s="80">
        <v>320</v>
      </c>
      <c r="Q23" s="80">
        <v>295</v>
      </c>
      <c r="R23" s="80">
        <v>295</v>
      </c>
      <c r="S23" s="80">
        <v>270</v>
      </c>
      <c r="T23" s="80">
        <v>270</v>
      </c>
      <c r="U23" s="80">
        <v>245</v>
      </c>
      <c r="V23" s="80">
        <v>200</v>
      </c>
      <c r="W23" s="80">
        <v>200</v>
      </c>
      <c r="X23" s="80">
        <v>175</v>
      </c>
      <c r="Y23" s="82"/>
      <c r="Z23" s="163" t="s">
        <v>266</v>
      </c>
      <c r="AA23" s="163" t="s">
        <v>266</v>
      </c>
      <c r="AB23" s="80">
        <v>300</v>
      </c>
      <c r="AC23" s="80">
        <v>300</v>
      </c>
      <c r="AD23" s="80">
        <v>280</v>
      </c>
      <c r="AE23" s="80">
        <v>280</v>
      </c>
      <c r="AF23" s="80">
        <v>240</v>
      </c>
      <c r="AG23" s="80">
        <v>220</v>
      </c>
      <c r="AH23" s="80">
        <v>220</v>
      </c>
      <c r="AI23" s="80">
        <v>200</v>
      </c>
      <c r="AJ23" s="82"/>
      <c r="AK23" s="46" t="s">
        <v>13</v>
      </c>
      <c r="AL23" s="164" t="s">
        <v>267</v>
      </c>
    </row>
    <row r="24" spans="1:38" ht="14.1" customHeight="1">
      <c r="A24" s="262" t="s">
        <v>233</v>
      </c>
      <c r="B24" s="267" t="s">
        <v>151</v>
      </c>
      <c r="C24" s="79" t="s">
        <v>102</v>
      </c>
      <c r="D24" s="163" t="s">
        <v>266</v>
      </c>
      <c r="E24" s="163" t="s">
        <v>266</v>
      </c>
      <c r="F24" s="80">
        <v>1610</v>
      </c>
      <c r="G24" s="80">
        <v>1610</v>
      </c>
      <c r="H24" s="80">
        <v>145</v>
      </c>
      <c r="I24" s="80">
        <v>145</v>
      </c>
      <c r="J24" s="80">
        <v>125</v>
      </c>
      <c r="K24" s="80">
        <v>110</v>
      </c>
      <c r="L24" s="80">
        <v>110</v>
      </c>
      <c r="M24" s="80">
        <v>95</v>
      </c>
      <c r="N24" s="82"/>
      <c r="O24" s="80">
        <v>215</v>
      </c>
      <c r="P24" s="80">
        <v>215</v>
      </c>
      <c r="Q24" s="80">
        <v>190</v>
      </c>
      <c r="R24" s="80">
        <v>190</v>
      </c>
      <c r="S24" s="80">
        <v>170</v>
      </c>
      <c r="T24" s="80">
        <v>170</v>
      </c>
      <c r="U24" s="80">
        <v>150</v>
      </c>
      <c r="V24" s="80">
        <v>150</v>
      </c>
      <c r="W24" s="80">
        <v>130</v>
      </c>
      <c r="X24" s="80">
        <v>115</v>
      </c>
      <c r="Y24" s="82"/>
      <c r="Z24" s="163" t="s">
        <v>266</v>
      </c>
      <c r="AA24" s="163" t="s">
        <v>266</v>
      </c>
      <c r="AB24" s="80">
        <v>175</v>
      </c>
      <c r="AC24" s="80">
        <v>175</v>
      </c>
      <c r="AD24" s="80">
        <v>155</v>
      </c>
      <c r="AE24" s="80">
        <v>155</v>
      </c>
      <c r="AF24" s="80">
        <v>135</v>
      </c>
      <c r="AG24" s="80">
        <v>115</v>
      </c>
      <c r="AH24" s="80">
        <v>115</v>
      </c>
      <c r="AI24" s="80">
        <v>100</v>
      </c>
      <c r="AJ24" s="82"/>
      <c r="AK24" s="46" t="s">
        <v>13</v>
      </c>
      <c r="AL24" s="164" t="s">
        <v>267</v>
      </c>
    </row>
    <row r="25" spans="1:38" ht="14.1" customHeight="1">
      <c r="A25" s="262"/>
      <c r="B25" s="267"/>
      <c r="C25" s="79" t="s">
        <v>103</v>
      </c>
      <c r="D25" s="163" t="s">
        <v>266</v>
      </c>
      <c r="E25" s="163" t="s">
        <v>266</v>
      </c>
      <c r="F25" s="80">
        <v>160</v>
      </c>
      <c r="G25" s="80">
        <v>160</v>
      </c>
      <c r="H25" s="80">
        <v>145</v>
      </c>
      <c r="I25" s="80">
        <v>145</v>
      </c>
      <c r="J25" s="80">
        <v>125</v>
      </c>
      <c r="K25" s="80">
        <v>110</v>
      </c>
      <c r="L25" s="80">
        <v>110</v>
      </c>
      <c r="M25" s="80">
        <v>95</v>
      </c>
      <c r="N25" s="82"/>
      <c r="O25" s="80">
        <v>225</v>
      </c>
      <c r="P25" s="80">
        <v>225</v>
      </c>
      <c r="Q25" s="80">
        <v>205</v>
      </c>
      <c r="R25" s="80">
        <v>205</v>
      </c>
      <c r="S25" s="80">
        <v>185</v>
      </c>
      <c r="T25" s="80">
        <v>185</v>
      </c>
      <c r="U25" s="80">
        <v>165</v>
      </c>
      <c r="V25" s="80">
        <v>145</v>
      </c>
      <c r="W25" s="80">
        <v>145</v>
      </c>
      <c r="X25" s="80">
        <v>130</v>
      </c>
      <c r="Y25" s="82"/>
      <c r="Z25" s="163" t="s">
        <v>266</v>
      </c>
      <c r="AA25" s="163" t="s">
        <v>266</v>
      </c>
      <c r="AB25" s="80">
        <v>185</v>
      </c>
      <c r="AC25" s="80">
        <v>185</v>
      </c>
      <c r="AD25" s="80">
        <v>165</v>
      </c>
      <c r="AE25" s="80">
        <v>165</v>
      </c>
      <c r="AF25" s="80">
        <v>145</v>
      </c>
      <c r="AG25" s="80">
        <v>125</v>
      </c>
      <c r="AH25" s="80">
        <v>125</v>
      </c>
      <c r="AI25" s="80">
        <v>100</v>
      </c>
      <c r="AJ25" s="82"/>
      <c r="AK25" s="46" t="s">
        <v>13</v>
      </c>
      <c r="AL25" s="164" t="s">
        <v>267</v>
      </c>
    </row>
    <row r="26" spans="1:38" ht="14.1" customHeight="1">
      <c r="A26" s="262"/>
      <c r="B26" s="267"/>
      <c r="C26" s="79" t="s">
        <v>101</v>
      </c>
      <c r="D26" s="163" t="s">
        <v>266</v>
      </c>
      <c r="E26" s="163" t="s">
        <v>266</v>
      </c>
      <c r="F26" s="80">
        <v>230</v>
      </c>
      <c r="G26" s="80">
        <v>230</v>
      </c>
      <c r="H26" s="80">
        <v>205</v>
      </c>
      <c r="I26" s="80">
        <v>205</v>
      </c>
      <c r="J26" s="80">
        <v>180</v>
      </c>
      <c r="K26" s="80">
        <v>155</v>
      </c>
      <c r="L26" s="80">
        <v>155</v>
      </c>
      <c r="M26" s="80">
        <v>140</v>
      </c>
      <c r="N26" s="82"/>
      <c r="O26" s="80">
        <v>350</v>
      </c>
      <c r="P26" s="80">
        <v>350</v>
      </c>
      <c r="Q26" s="80">
        <v>315</v>
      </c>
      <c r="R26" s="80">
        <v>315</v>
      </c>
      <c r="S26" s="80">
        <v>280</v>
      </c>
      <c r="T26" s="80">
        <v>280</v>
      </c>
      <c r="U26" s="80">
        <v>255</v>
      </c>
      <c r="V26" s="80">
        <v>210</v>
      </c>
      <c r="W26" s="80">
        <v>210</v>
      </c>
      <c r="X26" s="80">
        <v>195</v>
      </c>
      <c r="Y26" s="82"/>
      <c r="Z26" s="163" t="s">
        <v>266</v>
      </c>
      <c r="AA26" s="163" t="s">
        <v>266</v>
      </c>
      <c r="AB26" s="80">
        <v>250</v>
      </c>
      <c r="AC26" s="80">
        <v>250</v>
      </c>
      <c r="AD26" s="80">
        <v>225</v>
      </c>
      <c r="AE26" s="80">
        <v>225</v>
      </c>
      <c r="AF26" s="80">
        <v>200</v>
      </c>
      <c r="AG26" s="80">
        <v>180</v>
      </c>
      <c r="AH26" s="80">
        <v>180</v>
      </c>
      <c r="AI26" s="80">
        <v>160</v>
      </c>
      <c r="AJ26" s="82"/>
      <c r="AK26" s="46" t="s">
        <v>13</v>
      </c>
      <c r="AL26" s="164" t="s">
        <v>267</v>
      </c>
    </row>
    <row r="27" spans="1:38" ht="14.1" customHeight="1">
      <c r="A27" s="262" t="s">
        <v>258</v>
      </c>
      <c r="B27" s="271" t="s">
        <v>152</v>
      </c>
      <c r="C27" s="79" t="s">
        <v>100</v>
      </c>
      <c r="D27" s="163" t="s">
        <v>266</v>
      </c>
      <c r="E27" s="163" t="s">
        <v>266</v>
      </c>
      <c r="F27" s="80">
        <v>175</v>
      </c>
      <c r="G27" s="80">
        <v>175</v>
      </c>
      <c r="H27" s="80">
        <v>170</v>
      </c>
      <c r="I27" s="80">
        <v>170</v>
      </c>
      <c r="J27" s="80">
        <v>165</v>
      </c>
      <c r="K27" s="80">
        <v>160</v>
      </c>
      <c r="L27" s="80">
        <v>160</v>
      </c>
      <c r="M27" s="80">
        <v>155</v>
      </c>
      <c r="N27" s="82"/>
      <c r="O27" s="80">
        <v>230</v>
      </c>
      <c r="P27" s="80">
        <v>230</v>
      </c>
      <c r="Q27" s="80">
        <v>220</v>
      </c>
      <c r="R27" s="80">
        <v>220</v>
      </c>
      <c r="S27" s="80">
        <v>215</v>
      </c>
      <c r="T27" s="80">
        <v>215</v>
      </c>
      <c r="U27" s="80">
        <v>200</v>
      </c>
      <c r="V27" s="80">
        <v>190</v>
      </c>
      <c r="W27" s="80">
        <v>190</v>
      </c>
      <c r="X27" s="80">
        <v>180</v>
      </c>
      <c r="Y27" s="82"/>
      <c r="Z27" s="163" t="s">
        <v>266</v>
      </c>
      <c r="AA27" s="163" t="s">
        <v>266</v>
      </c>
      <c r="AB27" s="80">
        <v>230</v>
      </c>
      <c r="AC27" s="80">
        <v>230</v>
      </c>
      <c r="AD27" s="80">
        <v>220</v>
      </c>
      <c r="AE27" s="80">
        <v>220</v>
      </c>
      <c r="AF27" s="80">
        <v>210</v>
      </c>
      <c r="AG27" s="80">
        <v>205</v>
      </c>
      <c r="AH27" s="80">
        <v>205</v>
      </c>
      <c r="AI27" s="80">
        <v>160</v>
      </c>
      <c r="AJ27" s="82"/>
      <c r="AK27" s="46" t="s">
        <v>13</v>
      </c>
      <c r="AL27" s="164" t="s">
        <v>267</v>
      </c>
    </row>
    <row r="28" spans="1:38" ht="14.1" customHeight="1">
      <c r="A28" s="262"/>
      <c r="B28" s="271"/>
      <c r="C28" s="79" t="s">
        <v>101</v>
      </c>
      <c r="D28" s="163" t="s">
        <v>266</v>
      </c>
      <c r="E28" s="163" t="s">
        <v>266</v>
      </c>
      <c r="F28" s="80">
        <v>175</v>
      </c>
      <c r="G28" s="80">
        <v>175</v>
      </c>
      <c r="H28" s="80">
        <v>170</v>
      </c>
      <c r="I28" s="80">
        <v>170</v>
      </c>
      <c r="J28" s="80">
        <v>165</v>
      </c>
      <c r="K28" s="80">
        <v>160</v>
      </c>
      <c r="L28" s="80">
        <v>160</v>
      </c>
      <c r="M28" s="80">
        <v>155</v>
      </c>
      <c r="N28" s="82"/>
      <c r="O28" s="80">
        <v>230</v>
      </c>
      <c r="P28" s="80">
        <v>230</v>
      </c>
      <c r="Q28" s="80">
        <v>220</v>
      </c>
      <c r="R28" s="80">
        <v>220</v>
      </c>
      <c r="S28" s="80">
        <v>215</v>
      </c>
      <c r="T28" s="80">
        <v>215</v>
      </c>
      <c r="U28" s="80">
        <v>200</v>
      </c>
      <c r="V28" s="80">
        <v>190</v>
      </c>
      <c r="W28" s="80">
        <v>190</v>
      </c>
      <c r="X28" s="80">
        <v>180</v>
      </c>
      <c r="Y28" s="82"/>
      <c r="Z28" s="163" t="s">
        <v>266</v>
      </c>
      <c r="AA28" s="163" t="s">
        <v>266</v>
      </c>
      <c r="AB28" s="80">
        <v>230</v>
      </c>
      <c r="AC28" s="80">
        <v>230</v>
      </c>
      <c r="AD28" s="80">
        <v>220</v>
      </c>
      <c r="AE28" s="80">
        <v>220</v>
      </c>
      <c r="AF28" s="80">
        <v>210</v>
      </c>
      <c r="AG28" s="80">
        <v>205</v>
      </c>
      <c r="AH28" s="80">
        <v>205</v>
      </c>
      <c r="AI28" s="80">
        <v>200</v>
      </c>
      <c r="AJ28" s="82"/>
      <c r="AK28" s="46" t="s">
        <v>13</v>
      </c>
      <c r="AL28" s="164" t="s">
        <v>267</v>
      </c>
    </row>
    <row r="29" spans="1:38" ht="15">
      <c r="A29" s="279"/>
      <c r="B29" s="280"/>
      <c r="C29" s="281"/>
      <c r="D29" s="140"/>
      <c r="E29" s="140"/>
      <c r="F29" s="140"/>
      <c r="G29" s="140"/>
      <c r="H29" s="140"/>
      <c r="I29" s="140"/>
      <c r="J29" s="140"/>
      <c r="K29" s="140"/>
      <c r="L29" s="83"/>
      <c r="M29" s="84"/>
      <c r="N29" s="82"/>
      <c r="O29" s="140"/>
      <c r="P29" s="140"/>
      <c r="Q29" s="140"/>
      <c r="R29" s="140"/>
      <c r="S29" s="140"/>
      <c r="T29" s="140"/>
      <c r="U29" s="140"/>
      <c r="V29" s="140"/>
      <c r="W29" s="140"/>
      <c r="X29" s="83"/>
      <c r="Y29" s="82"/>
      <c r="Z29" s="140"/>
      <c r="AA29" s="140"/>
      <c r="AB29" s="140"/>
      <c r="AC29" s="140"/>
      <c r="AD29" s="140"/>
      <c r="AE29" s="140"/>
      <c r="AF29" s="140"/>
      <c r="AG29" s="140"/>
      <c r="AH29" s="83"/>
      <c r="AI29" s="84"/>
      <c r="AJ29" s="82"/>
      <c r="AK29" s="47"/>
      <c r="AL29" s="164"/>
    </row>
    <row r="30" spans="1:38" ht="30.75" customHeight="1">
      <c r="A30" s="62"/>
      <c r="B30" s="272" t="s">
        <v>191</v>
      </c>
      <c r="C30" s="272"/>
      <c r="D30" s="80">
        <v>0.93799999999999994</v>
      </c>
      <c r="E30" s="80">
        <v>0.93799999999999994</v>
      </c>
      <c r="F30" s="80">
        <v>1.07</v>
      </c>
      <c r="G30" s="80">
        <v>1.07</v>
      </c>
      <c r="H30" s="80">
        <v>1.25</v>
      </c>
      <c r="I30" s="80">
        <v>1.25</v>
      </c>
      <c r="J30" s="80">
        <v>1.5</v>
      </c>
      <c r="K30" s="80">
        <v>1.875</v>
      </c>
      <c r="L30" s="80">
        <v>1.875</v>
      </c>
      <c r="M30" s="80">
        <v>2.5</v>
      </c>
      <c r="N30" s="81"/>
      <c r="O30" s="80">
        <v>0.93799999999999994</v>
      </c>
      <c r="P30" s="80">
        <v>0.93799999999999994</v>
      </c>
      <c r="Q30" s="80">
        <v>1.07</v>
      </c>
      <c r="R30" s="80">
        <v>1.07</v>
      </c>
      <c r="S30" s="80">
        <v>1.25</v>
      </c>
      <c r="T30" s="80">
        <v>1.25</v>
      </c>
      <c r="U30" s="80">
        <v>1.5</v>
      </c>
      <c r="V30" s="80">
        <v>1.875</v>
      </c>
      <c r="W30" s="80">
        <v>1.875</v>
      </c>
      <c r="X30" s="80">
        <v>2.5</v>
      </c>
      <c r="Y30" s="81"/>
      <c r="Z30" s="80">
        <v>0.93799999999999994</v>
      </c>
      <c r="AA30" s="80">
        <v>0.93799999999999994</v>
      </c>
      <c r="AB30" s="80">
        <v>1.07</v>
      </c>
      <c r="AC30" s="80">
        <v>1.07</v>
      </c>
      <c r="AD30" s="80">
        <v>1.25</v>
      </c>
      <c r="AE30" s="80">
        <v>1.25</v>
      </c>
      <c r="AF30" s="80">
        <v>1.5</v>
      </c>
      <c r="AG30" s="80">
        <v>1.875</v>
      </c>
      <c r="AH30" s="80">
        <v>1.875</v>
      </c>
      <c r="AI30" s="80">
        <v>2.5</v>
      </c>
      <c r="AJ30" s="81"/>
      <c r="AK30" s="46" t="s">
        <v>37</v>
      </c>
      <c r="AL30" s="164" t="s">
        <v>267</v>
      </c>
    </row>
    <row r="31" spans="1:38" ht="14.1" customHeight="1">
      <c r="A31" s="275" t="s">
        <v>192</v>
      </c>
      <c r="B31" s="277" t="s">
        <v>1</v>
      </c>
      <c r="C31" s="79" t="s">
        <v>100</v>
      </c>
      <c r="D31" s="80">
        <v>6</v>
      </c>
      <c r="E31" s="80">
        <v>6</v>
      </c>
      <c r="F31" s="80">
        <v>6</v>
      </c>
      <c r="G31" s="80">
        <v>6</v>
      </c>
      <c r="H31" s="80">
        <v>6</v>
      </c>
      <c r="I31" s="80">
        <v>6</v>
      </c>
      <c r="J31" s="80">
        <v>6</v>
      </c>
      <c r="K31" s="80">
        <v>7.5</v>
      </c>
      <c r="L31" s="80">
        <v>7.5</v>
      </c>
      <c r="M31" s="80">
        <v>10</v>
      </c>
      <c r="N31" s="81"/>
      <c r="O31" s="80">
        <v>6</v>
      </c>
      <c r="P31" s="80">
        <v>6</v>
      </c>
      <c r="Q31" s="80">
        <v>6</v>
      </c>
      <c r="R31" s="80">
        <v>6</v>
      </c>
      <c r="S31" s="80">
        <v>6</v>
      </c>
      <c r="T31" s="80">
        <v>6</v>
      </c>
      <c r="U31" s="80">
        <v>6</v>
      </c>
      <c r="V31" s="80">
        <v>7.5</v>
      </c>
      <c r="W31" s="80">
        <v>7.5</v>
      </c>
      <c r="X31" s="80">
        <v>10</v>
      </c>
      <c r="Y31" s="81"/>
      <c r="Z31" s="80">
        <v>6</v>
      </c>
      <c r="AA31" s="80">
        <v>6</v>
      </c>
      <c r="AB31" s="80">
        <v>6</v>
      </c>
      <c r="AC31" s="80">
        <v>6</v>
      </c>
      <c r="AD31" s="80">
        <v>6</v>
      </c>
      <c r="AE31" s="80">
        <v>6</v>
      </c>
      <c r="AF31" s="80">
        <v>6</v>
      </c>
      <c r="AG31" s="80">
        <v>7.5</v>
      </c>
      <c r="AH31" s="80">
        <v>7.5</v>
      </c>
      <c r="AI31" s="80">
        <v>10</v>
      </c>
      <c r="AJ31" s="81"/>
      <c r="AK31" s="46" t="s">
        <v>37</v>
      </c>
      <c r="AL31" s="164" t="s">
        <v>267</v>
      </c>
    </row>
    <row r="32" spans="1:38" ht="14.1" customHeight="1">
      <c r="A32" s="276"/>
      <c r="B32" s="278"/>
      <c r="C32" s="79" t="s">
        <v>101</v>
      </c>
      <c r="D32" s="80">
        <v>7.5</v>
      </c>
      <c r="E32" s="80">
        <v>7.5</v>
      </c>
      <c r="F32" s="80">
        <v>7.5</v>
      </c>
      <c r="G32" s="80">
        <v>7.5</v>
      </c>
      <c r="H32" s="80">
        <v>7.5</v>
      </c>
      <c r="I32" s="80">
        <v>7.5</v>
      </c>
      <c r="J32" s="80">
        <v>7.5</v>
      </c>
      <c r="K32" s="80">
        <v>10</v>
      </c>
      <c r="L32" s="80">
        <v>10</v>
      </c>
      <c r="M32" s="80">
        <v>10</v>
      </c>
      <c r="N32" s="81"/>
      <c r="O32" s="80">
        <v>7.5</v>
      </c>
      <c r="P32" s="80">
        <v>7.5</v>
      </c>
      <c r="Q32" s="80">
        <v>7.5</v>
      </c>
      <c r="R32" s="80">
        <v>7.5</v>
      </c>
      <c r="S32" s="80">
        <v>7.5</v>
      </c>
      <c r="T32" s="80">
        <v>7.5</v>
      </c>
      <c r="U32" s="80">
        <v>7.5</v>
      </c>
      <c r="V32" s="80">
        <v>10</v>
      </c>
      <c r="W32" s="80">
        <v>10</v>
      </c>
      <c r="X32" s="80">
        <v>10</v>
      </c>
      <c r="Y32" s="81"/>
      <c r="Z32" s="80">
        <v>7.5</v>
      </c>
      <c r="AA32" s="80">
        <v>7.5</v>
      </c>
      <c r="AB32" s="80">
        <v>7.5</v>
      </c>
      <c r="AC32" s="80">
        <v>7.5</v>
      </c>
      <c r="AD32" s="80">
        <v>7.5</v>
      </c>
      <c r="AE32" s="80">
        <v>7.5</v>
      </c>
      <c r="AF32" s="80">
        <v>7.5</v>
      </c>
      <c r="AG32" s="80">
        <v>10</v>
      </c>
      <c r="AH32" s="80">
        <v>10</v>
      </c>
      <c r="AI32" s="80">
        <v>10</v>
      </c>
      <c r="AJ32" s="81"/>
      <c r="AK32" s="46" t="s">
        <v>37</v>
      </c>
      <c r="AL32" s="164" t="s">
        <v>267</v>
      </c>
    </row>
    <row r="33" spans="1:38" ht="18" customHeight="1">
      <c r="A33" s="85" t="s">
        <v>193</v>
      </c>
      <c r="B33" s="267" t="s">
        <v>153</v>
      </c>
      <c r="C33" s="267"/>
      <c r="D33" s="80">
        <v>45.155000000000001</v>
      </c>
      <c r="E33" s="80">
        <v>46.09</v>
      </c>
      <c r="F33" s="80">
        <v>46.84</v>
      </c>
      <c r="G33" s="80">
        <v>47.91</v>
      </c>
      <c r="H33" s="80">
        <v>47.5</v>
      </c>
      <c r="I33" s="80">
        <v>48.75</v>
      </c>
      <c r="J33" s="80">
        <v>49.5</v>
      </c>
      <c r="K33" s="80">
        <v>50.625</v>
      </c>
      <c r="L33" s="80">
        <v>52.5</v>
      </c>
      <c r="M33" s="80">
        <v>52.5</v>
      </c>
      <c r="N33" s="81"/>
      <c r="O33" s="80">
        <v>45.155000000000001</v>
      </c>
      <c r="P33" s="80">
        <v>46.09</v>
      </c>
      <c r="Q33" s="80">
        <v>46.84</v>
      </c>
      <c r="R33" s="80">
        <v>47.91</v>
      </c>
      <c r="S33" s="80">
        <v>47.5</v>
      </c>
      <c r="T33" s="80">
        <v>48.75</v>
      </c>
      <c r="U33" s="80">
        <v>49.5</v>
      </c>
      <c r="V33" s="80">
        <v>50.625</v>
      </c>
      <c r="W33" s="80">
        <v>52.5</v>
      </c>
      <c r="X33" s="80">
        <v>52.5</v>
      </c>
      <c r="Y33" s="81"/>
      <c r="Z33" s="80">
        <v>45.155000000000001</v>
      </c>
      <c r="AA33" s="80">
        <v>46.09</v>
      </c>
      <c r="AB33" s="80">
        <v>46.84</v>
      </c>
      <c r="AC33" s="80">
        <v>47.91</v>
      </c>
      <c r="AD33" s="80">
        <v>47.5</v>
      </c>
      <c r="AE33" s="80">
        <v>48.75</v>
      </c>
      <c r="AF33" s="80">
        <v>49.5</v>
      </c>
      <c r="AG33" s="80">
        <v>50.625</v>
      </c>
      <c r="AH33" s="80">
        <v>52.5</v>
      </c>
      <c r="AI33" s="80">
        <v>52.5</v>
      </c>
      <c r="AJ33" s="81"/>
      <c r="AK33" s="46" t="s">
        <v>37</v>
      </c>
      <c r="AL33" s="164" t="s">
        <v>267</v>
      </c>
    </row>
    <row r="34" spans="1:38" ht="18" customHeight="1">
      <c r="A34" s="85" t="s">
        <v>194</v>
      </c>
      <c r="B34" s="272" t="s">
        <v>195</v>
      </c>
      <c r="C34" s="267"/>
      <c r="D34" s="80">
        <v>36</v>
      </c>
      <c r="E34" s="80">
        <v>36</v>
      </c>
      <c r="F34" s="80">
        <v>34</v>
      </c>
      <c r="G34" s="80">
        <v>34</v>
      </c>
      <c r="H34" s="80">
        <v>35</v>
      </c>
      <c r="I34" s="80">
        <v>35</v>
      </c>
      <c r="J34" s="80">
        <v>36</v>
      </c>
      <c r="K34" s="80">
        <v>37.5</v>
      </c>
      <c r="L34" s="80">
        <v>37.5</v>
      </c>
      <c r="M34" s="80">
        <v>37.5</v>
      </c>
      <c r="N34" s="81"/>
      <c r="O34" s="80">
        <v>36</v>
      </c>
      <c r="P34" s="80">
        <v>36</v>
      </c>
      <c r="Q34" s="80">
        <v>34</v>
      </c>
      <c r="R34" s="80">
        <v>34</v>
      </c>
      <c r="S34" s="80">
        <v>35</v>
      </c>
      <c r="T34" s="80">
        <v>35</v>
      </c>
      <c r="U34" s="80">
        <v>36</v>
      </c>
      <c r="V34" s="80">
        <v>37.5</v>
      </c>
      <c r="W34" s="80">
        <v>37.5</v>
      </c>
      <c r="X34" s="80">
        <v>37.5</v>
      </c>
      <c r="Y34" s="81"/>
      <c r="Z34" s="80">
        <v>36</v>
      </c>
      <c r="AA34" s="80">
        <v>36</v>
      </c>
      <c r="AB34" s="80">
        <v>34</v>
      </c>
      <c r="AC34" s="80">
        <v>34</v>
      </c>
      <c r="AD34" s="80">
        <v>35</v>
      </c>
      <c r="AE34" s="80">
        <v>35</v>
      </c>
      <c r="AF34" s="80">
        <v>36</v>
      </c>
      <c r="AG34" s="80">
        <v>37.5</v>
      </c>
      <c r="AH34" s="80">
        <v>37.5</v>
      </c>
      <c r="AI34" s="80">
        <v>37.5</v>
      </c>
      <c r="AJ34" s="81"/>
      <c r="AK34" s="46" t="s">
        <v>37</v>
      </c>
      <c r="AL34" s="164" t="s">
        <v>267</v>
      </c>
    </row>
    <row r="35" spans="1:38" ht="18" customHeight="1">
      <c r="A35" s="85" t="s">
        <v>196</v>
      </c>
      <c r="B35" s="267" t="s">
        <v>154</v>
      </c>
      <c r="C35" s="267"/>
      <c r="D35" s="80">
        <v>110</v>
      </c>
      <c r="E35" s="80">
        <v>110</v>
      </c>
      <c r="F35" s="80">
        <v>110</v>
      </c>
      <c r="G35" s="80">
        <v>110</v>
      </c>
      <c r="H35" s="80">
        <v>110</v>
      </c>
      <c r="I35" s="80">
        <v>110</v>
      </c>
      <c r="J35" s="80">
        <v>110</v>
      </c>
      <c r="K35" s="80">
        <v>110</v>
      </c>
      <c r="L35" s="80">
        <v>110</v>
      </c>
      <c r="M35" s="80">
        <v>110</v>
      </c>
      <c r="N35" s="77"/>
      <c r="O35" s="80">
        <v>160</v>
      </c>
      <c r="P35" s="80">
        <v>160</v>
      </c>
      <c r="Q35" s="80">
        <v>160</v>
      </c>
      <c r="R35" s="80">
        <v>160</v>
      </c>
      <c r="S35" s="80">
        <v>160</v>
      </c>
      <c r="T35" s="80">
        <v>160</v>
      </c>
      <c r="U35" s="80">
        <v>160</v>
      </c>
      <c r="V35" s="80">
        <v>160</v>
      </c>
      <c r="W35" s="80">
        <v>160</v>
      </c>
      <c r="X35" s="80">
        <v>160</v>
      </c>
      <c r="Y35" s="77"/>
      <c r="Z35" s="80">
        <v>360</v>
      </c>
      <c r="AA35" s="80">
        <v>340</v>
      </c>
      <c r="AB35" s="80">
        <v>340</v>
      </c>
      <c r="AC35" s="80">
        <v>340</v>
      </c>
      <c r="AD35" s="80">
        <v>340</v>
      </c>
      <c r="AE35" s="80">
        <v>340</v>
      </c>
      <c r="AF35" s="80">
        <v>340</v>
      </c>
      <c r="AG35" s="80">
        <v>340</v>
      </c>
      <c r="AH35" s="80">
        <v>340</v>
      </c>
      <c r="AI35" s="80">
        <v>340</v>
      </c>
      <c r="AJ35" s="77"/>
      <c r="AK35" s="46" t="s">
        <v>37</v>
      </c>
      <c r="AL35" s="164" t="s">
        <v>267</v>
      </c>
    </row>
    <row r="36" spans="1:38" ht="18" customHeight="1">
      <c r="A36" s="85" t="s">
        <v>197</v>
      </c>
      <c r="B36" s="267" t="s">
        <v>94</v>
      </c>
      <c r="C36" s="267"/>
      <c r="D36" s="80">
        <v>7.8</v>
      </c>
      <c r="E36" s="80">
        <v>7.8</v>
      </c>
      <c r="F36" s="80">
        <v>7.8</v>
      </c>
      <c r="G36" s="80">
        <v>7.8</v>
      </c>
      <c r="H36" s="80">
        <v>7.8</v>
      </c>
      <c r="I36" s="80">
        <v>7.8</v>
      </c>
      <c r="J36" s="80">
        <v>7.8</v>
      </c>
      <c r="K36" s="80">
        <v>7.8</v>
      </c>
      <c r="L36" s="80">
        <v>7.8</v>
      </c>
      <c r="M36" s="80">
        <v>7.8</v>
      </c>
      <c r="N36" s="77"/>
      <c r="O36" s="80">
        <v>7.8</v>
      </c>
      <c r="P36" s="80">
        <v>7.8</v>
      </c>
      <c r="Q36" s="80">
        <v>7.8</v>
      </c>
      <c r="R36" s="80">
        <v>7.8</v>
      </c>
      <c r="S36" s="80">
        <v>7.8</v>
      </c>
      <c r="T36" s="80">
        <v>7.8</v>
      </c>
      <c r="U36" s="80">
        <v>7.8</v>
      </c>
      <c r="V36" s="80">
        <v>7.8</v>
      </c>
      <c r="W36" s="80">
        <v>7.8</v>
      </c>
      <c r="X36" s="80">
        <v>7.8</v>
      </c>
      <c r="Y36" s="77"/>
      <c r="Z36" s="80">
        <v>7.8</v>
      </c>
      <c r="AA36" s="80">
        <v>7.8</v>
      </c>
      <c r="AB36" s="80">
        <v>7.8</v>
      </c>
      <c r="AC36" s="80">
        <v>7.8</v>
      </c>
      <c r="AD36" s="80">
        <v>7.8</v>
      </c>
      <c r="AE36" s="80">
        <v>7.8</v>
      </c>
      <c r="AF36" s="80">
        <v>7.8</v>
      </c>
      <c r="AG36" s="80">
        <v>7.8</v>
      </c>
      <c r="AH36" s="80">
        <v>7.8</v>
      </c>
      <c r="AI36" s="80">
        <v>7.8</v>
      </c>
      <c r="AJ36" s="77"/>
      <c r="AK36" s="46" t="s">
        <v>204</v>
      </c>
      <c r="AL36" s="164" t="s">
        <v>267</v>
      </c>
    </row>
    <row r="37" spans="1:38" ht="18" customHeight="1">
      <c r="A37" s="85" t="s">
        <v>235</v>
      </c>
      <c r="B37" s="267" t="s">
        <v>199</v>
      </c>
      <c r="C37" s="267"/>
      <c r="D37" s="80">
        <v>0.93799999999999994</v>
      </c>
      <c r="E37" s="80">
        <v>0.93799999999999994</v>
      </c>
      <c r="F37" s="80">
        <v>1.07</v>
      </c>
      <c r="G37" s="80">
        <v>1.07</v>
      </c>
      <c r="H37" s="80">
        <v>1.25</v>
      </c>
      <c r="I37" s="80">
        <v>1.25</v>
      </c>
      <c r="J37" s="80">
        <v>1.5</v>
      </c>
      <c r="K37" s="80">
        <v>1.875</v>
      </c>
      <c r="L37" s="80">
        <v>1.875</v>
      </c>
      <c r="M37" s="80">
        <v>2.5</v>
      </c>
      <c r="N37" s="77"/>
      <c r="O37" s="80">
        <v>0.93799999999999994</v>
      </c>
      <c r="P37" s="80">
        <v>0.93799999999999994</v>
      </c>
      <c r="Q37" s="80">
        <v>1.07</v>
      </c>
      <c r="R37" s="80">
        <v>1.07</v>
      </c>
      <c r="S37" s="80">
        <v>1.25</v>
      </c>
      <c r="T37" s="80">
        <v>1.25</v>
      </c>
      <c r="U37" s="80">
        <v>1.5</v>
      </c>
      <c r="V37" s="80">
        <v>1.875</v>
      </c>
      <c r="W37" s="80">
        <v>1.875</v>
      </c>
      <c r="X37" s="80">
        <v>2.5</v>
      </c>
      <c r="Y37" s="77"/>
      <c r="Z37" s="80">
        <v>0.93799999999999994</v>
      </c>
      <c r="AA37" s="80">
        <v>0.93799999999999994</v>
      </c>
      <c r="AB37" s="80">
        <v>1.07</v>
      </c>
      <c r="AC37" s="80">
        <v>1.07</v>
      </c>
      <c r="AD37" s="80">
        <v>1.25</v>
      </c>
      <c r="AE37" s="80">
        <v>1.25</v>
      </c>
      <c r="AF37" s="80">
        <v>1.5</v>
      </c>
      <c r="AG37" s="80">
        <v>1.875</v>
      </c>
      <c r="AH37" s="80">
        <v>1.875</v>
      </c>
      <c r="AI37" s="80">
        <v>2.5</v>
      </c>
      <c r="AJ37" s="77"/>
      <c r="AK37" s="46" t="s">
        <v>37</v>
      </c>
      <c r="AL37" s="164" t="s">
        <v>267</v>
      </c>
    </row>
    <row r="38" spans="1:38" ht="18.75" customHeight="1">
      <c r="A38" s="85" t="s">
        <v>200</v>
      </c>
      <c r="B38" s="267" t="s">
        <v>201</v>
      </c>
      <c r="C38" s="267"/>
      <c r="D38" s="80">
        <v>3.3</v>
      </c>
      <c r="E38" s="80">
        <v>3.3</v>
      </c>
      <c r="F38" s="80">
        <v>3.3</v>
      </c>
      <c r="G38" s="80">
        <v>3.3</v>
      </c>
      <c r="H38" s="80">
        <v>3.3</v>
      </c>
      <c r="I38" s="80">
        <v>3.3</v>
      </c>
      <c r="J38" s="80">
        <v>3.3</v>
      </c>
      <c r="K38" s="80">
        <v>3.3</v>
      </c>
      <c r="L38" s="80">
        <v>3.3</v>
      </c>
      <c r="M38" s="80">
        <v>3.3</v>
      </c>
      <c r="N38" s="77"/>
      <c r="O38" s="80">
        <v>3.3</v>
      </c>
      <c r="P38" s="80">
        <v>3.3</v>
      </c>
      <c r="Q38" s="80">
        <v>3.3</v>
      </c>
      <c r="R38" s="80">
        <v>3.3</v>
      </c>
      <c r="S38" s="80">
        <v>3.3</v>
      </c>
      <c r="T38" s="80">
        <v>3.3</v>
      </c>
      <c r="U38" s="80">
        <v>3.3</v>
      </c>
      <c r="V38" s="80">
        <v>3.3</v>
      </c>
      <c r="W38" s="80">
        <v>3.3</v>
      </c>
      <c r="X38" s="80">
        <v>3.3</v>
      </c>
      <c r="Y38" s="77"/>
      <c r="Z38" s="80">
        <v>3.3</v>
      </c>
      <c r="AA38" s="80">
        <v>3.3</v>
      </c>
      <c r="AB38" s="80">
        <v>3.3</v>
      </c>
      <c r="AC38" s="80">
        <v>3.3</v>
      </c>
      <c r="AD38" s="80">
        <v>3.3</v>
      </c>
      <c r="AE38" s="80">
        <v>3.3</v>
      </c>
      <c r="AF38" s="80">
        <v>3.3</v>
      </c>
      <c r="AG38" s="80">
        <v>3.3</v>
      </c>
      <c r="AH38" s="80">
        <v>3.3</v>
      </c>
      <c r="AI38" s="80">
        <v>3.3</v>
      </c>
      <c r="AJ38" s="77"/>
      <c r="AK38" s="46" t="s">
        <v>37</v>
      </c>
      <c r="AL38" s="164" t="s">
        <v>267</v>
      </c>
    </row>
    <row r="39" spans="1:38" ht="18.75" customHeight="1">
      <c r="A39" s="65"/>
      <c r="B39" s="66"/>
      <c r="C39" s="65"/>
      <c r="D39" s="65"/>
      <c r="E39" s="63"/>
      <c r="F39" s="63"/>
      <c r="G39" s="63"/>
      <c r="H39" s="63"/>
      <c r="I39" s="63"/>
      <c r="J39" s="63"/>
      <c r="K39" s="63"/>
      <c r="L39" s="63"/>
      <c r="M39" s="63"/>
      <c r="N39" s="63"/>
      <c r="O39" s="63"/>
      <c r="P39" s="63"/>
      <c r="Q39" s="63"/>
      <c r="R39" s="63"/>
      <c r="S39" s="63"/>
      <c r="T39" s="63"/>
      <c r="U39" s="63"/>
      <c r="V39" s="63"/>
      <c r="W39" s="63"/>
      <c r="X39" s="63"/>
      <c r="Y39" s="63"/>
      <c r="Z39" s="63"/>
      <c r="AA39" s="63"/>
      <c r="AB39" s="63"/>
      <c r="AC39" s="63"/>
      <c r="AD39" s="63"/>
      <c r="AE39" s="63"/>
      <c r="AF39" s="63"/>
      <c r="AG39" s="63"/>
      <c r="AH39" s="63"/>
      <c r="AI39" s="63"/>
      <c r="AJ39" s="63"/>
      <c r="AK39" s="43"/>
    </row>
    <row r="40" spans="1:38" ht="18.75" customHeight="1">
      <c r="A40" s="65"/>
      <c r="B40" s="66"/>
      <c r="C40" s="65"/>
      <c r="D40" s="65"/>
      <c r="E40" s="63"/>
      <c r="F40" s="63"/>
      <c r="G40" s="63"/>
      <c r="H40" s="63"/>
      <c r="I40" s="63"/>
      <c r="J40" s="63"/>
      <c r="K40" s="63"/>
      <c r="L40" s="63"/>
      <c r="M40" s="63"/>
      <c r="N40" s="63"/>
      <c r="O40" s="63"/>
      <c r="P40" s="63"/>
      <c r="Q40" s="63"/>
      <c r="R40" s="63"/>
      <c r="S40" s="63"/>
      <c r="T40" s="63"/>
      <c r="U40" s="63"/>
      <c r="V40" s="63"/>
      <c r="W40" s="63"/>
      <c r="X40" s="63"/>
      <c r="Y40" s="63"/>
      <c r="Z40" s="63"/>
      <c r="AA40" s="63"/>
      <c r="AB40" s="63"/>
      <c r="AC40" s="63"/>
      <c r="AD40" s="63"/>
      <c r="AE40" s="63"/>
      <c r="AF40" s="63"/>
      <c r="AG40" s="63"/>
      <c r="AH40" s="63"/>
      <c r="AI40" s="63"/>
      <c r="AJ40" s="63"/>
      <c r="AK40" s="43"/>
    </row>
    <row r="41" spans="1:38" ht="24" customHeight="1">
      <c r="A41" s="268" t="s">
        <v>310</v>
      </c>
      <c r="B41" s="269"/>
      <c r="C41" s="269"/>
      <c r="D41" s="269"/>
      <c r="E41" s="269"/>
      <c r="F41" s="269"/>
      <c r="G41" s="269"/>
      <c r="H41" s="269"/>
      <c r="I41" s="269"/>
      <c r="J41" s="269"/>
      <c r="K41" s="269"/>
      <c r="L41" s="269"/>
      <c r="M41" s="269"/>
      <c r="N41" s="269"/>
      <c r="O41" s="269"/>
      <c r="P41" s="269"/>
      <c r="Q41" s="269"/>
      <c r="R41" s="269"/>
      <c r="S41" s="269"/>
      <c r="T41" s="269"/>
      <c r="U41" s="269"/>
      <c r="V41" s="269"/>
      <c r="W41" s="269"/>
      <c r="X41" s="269"/>
      <c r="Y41" s="269"/>
      <c r="Z41" s="269"/>
      <c r="AA41" s="269"/>
      <c r="AB41" s="269"/>
      <c r="AC41" s="269"/>
      <c r="AD41" s="269"/>
      <c r="AE41" s="269"/>
      <c r="AF41" s="269"/>
      <c r="AG41" s="269"/>
      <c r="AH41" s="269"/>
      <c r="AI41" s="269"/>
      <c r="AJ41" s="269"/>
      <c r="AK41" s="270"/>
    </row>
    <row r="42" spans="1:38" ht="24" hidden="1" customHeight="1">
      <c r="A42" s="65"/>
      <c r="B42" s="66"/>
      <c r="C42" s="65"/>
      <c r="D42" s="63" t="str">
        <f>IF('DDR3 Config'!$G$1=1,'DDR3 Spec'!D5,IF('DDR3 Config'!$G$1=2,'DDR3 Spec'!O5,IF('DDR3 Config'!$G$1=3,'DDR3 Spec'!Z5,'DDR3 Spec'!AL5)))</f>
        <v>-093E</v>
      </c>
      <c r="E42" s="63" t="str">
        <f>IF('DDR3 Config'!$G$1=1,'DDR3 Spec'!E5,IF('DDR3 Config'!$G$1=2,'DDR3 Spec'!P5,IF('DDR3 Config'!$G$1=3,'DDR3 Spec'!AA5,'DDR3 Spec'!AM5)))</f>
        <v>-093</v>
      </c>
      <c r="F42" s="63" t="str">
        <f>IF('DDR3 Config'!$G$1=1,'DDR3 Spec'!F5,IF('DDR3 Config'!$G$1=2,'DDR3 Spec'!Q5,IF('DDR3 Config'!$G$1=3,'DDR3 Spec'!AB5,'DDR3 Spec'!AN5)))</f>
        <v>-107E</v>
      </c>
      <c r="G42" s="63" t="str">
        <f>IF('DDR3 Config'!$G$1=1,'DDR3 Spec'!G5,IF('DDR3 Config'!$G$1=2,'DDR3 Spec'!R5,IF('DDR3 Config'!$G$1=3,'DDR3 Spec'!AC5,'DDR3 Spec'!AO5)))</f>
        <v>-107</v>
      </c>
      <c r="H42" s="63" t="str">
        <f>IF('DDR3 Config'!$G$1=1,'DDR3 Spec'!H5,IF('DDR3 Config'!$G$1=2,'DDR3 Spec'!S5,IF('DDR3 Config'!$G$1=3,'DDR3 Spec'!AD5,'DDR3 Spec'!AP5)))</f>
        <v>-125E</v>
      </c>
      <c r="I42" s="63" t="str">
        <f>IF('DDR3 Config'!$G$1=1,'DDR3 Spec'!I5,IF('DDR3 Config'!$G$1=2,'DDR3 Spec'!T5,IF('DDR3 Config'!$G$1=3,'DDR3 Spec'!AE5,'DDR3 Spec'!AQ5)))</f>
        <v>-125</v>
      </c>
      <c r="J42" s="63" t="str">
        <f>IF('DDR3 Config'!$G$1=1,'DDR3 Spec'!J5,IF('DDR3 Config'!$G$1=2,'DDR3 Spec'!U5,IF('DDR3 Config'!$G$1=3,'DDR3 Spec'!AF5,'DDR3 Spec'!AR5)))</f>
        <v>-15E</v>
      </c>
      <c r="K42" s="63" t="str">
        <f>IF('DDR3 Config'!$G$1=1,'DDR3 Spec'!K5,IF('DDR3 Config'!$G$1=2,'DDR3 Spec'!V5,IF('DDR3 Config'!$G$1=3,'DDR3 Spec'!AG5,'DDR3 Spec'!AS5)))</f>
        <v>-187E</v>
      </c>
      <c r="L42" s="63" t="str">
        <f>IF('DDR3 Config'!$G$1=1,'DDR3 Spec'!L5,IF('DDR3 Config'!$G$1=2,'DDR3 Spec'!W5,IF('DDR3 Config'!$G$1=3,'DDR3 Spec'!AH5,'DDR3 Spec'!AT5)))</f>
        <v>-187</v>
      </c>
      <c r="M42" s="63" t="str">
        <f>IF('DDR3 Config'!$G$1=1,'DDR3 Spec'!M5,IF('DDR3 Config'!$G$1=2,'DDR3 Spec'!X5,IF('DDR3 Config'!$G$1=3,'DDR3 Spec'!AI5,'DDR3 Spec'!AU5)))</f>
        <v>-25</v>
      </c>
      <c r="N42" s="63"/>
      <c r="O42" s="63"/>
      <c r="P42" s="63"/>
      <c r="Q42" s="63"/>
      <c r="R42" s="63"/>
      <c r="S42" s="63"/>
      <c r="T42" s="63"/>
      <c r="U42" s="63"/>
      <c r="V42" s="63"/>
      <c r="W42" s="63" t="str">
        <f>'DDR3 Config'!C9</f>
        <v>-093E</v>
      </c>
      <c r="X42" s="63"/>
      <c r="Y42" s="63"/>
      <c r="Z42" s="63"/>
      <c r="AA42" s="63"/>
      <c r="AB42" s="63"/>
      <c r="AC42" s="63"/>
      <c r="AD42" s="63"/>
      <c r="AE42" s="63"/>
      <c r="AF42" s="63"/>
      <c r="AG42" s="63"/>
      <c r="AH42" s="63"/>
      <c r="AI42" s="63"/>
      <c r="AJ42" s="63"/>
      <c r="AK42" s="43"/>
    </row>
    <row r="43" spans="1:38" ht="24" hidden="1" customHeight="1">
      <c r="A43" s="65"/>
      <c r="B43" s="66"/>
      <c r="C43" s="65"/>
      <c r="D43" s="63">
        <v>1</v>
      </c>
      <c r="E43" s="63">
        <v>2</v>
      </c>
      <c r="F43" s="63">
        <v>3</v>
      </c>
      <c r="G43" s="63">
        <v>4</v>
      </c>
      <c r="H43" s="63">
        <v>5</v>
      </c>
      <c r="I43" s="63">
        <v>6</v>
      </c>
      <c r="J43" s="63">
        <v>7</v>
      </c>
      <c r="K43" s="63">
        <v>8</v>
      </c>
      <c r="L43" s="63">
        <v>9</v>
      </c>
      <c r="M43" s="63">
        <v>10</v>
      </c>
      <c r="N43" s="63"/>
      <c r="O43" s="63"/>
      <c r="P43" s="63"/>
      <c r="Q43" s="63"/>
      <c r="R43" s="63"/>
      <c r="S43" s="63"/>
      <c r="T43" s="63"/>
      <c r="U43" s="63"/>
      <c r="V43" s="63"/>
      <c r="W43" s="63">
        <f>'DDR3 Config'!H1</f>
        <v>1</v>
      </c>
      <c r="X43" s="63"/>
      <c r="Y43" s="63"/>
      <c r="Z43" s="63"/>
      <c r="AA43" s="63"/>
      <c r="AB43" s="63"/>
      <c r="AC43" s="63"/>
      <c r="AD43" s="63"/>
      <c r="AE43" s="63"/>
      <c r="AF43" s="63"/>
      <c r="AG43" s="63"/>
      <c r="AH43" s="63"/>
      <c r="AI43" s="63"/>
      <c r="AJ43" s="63"/>
      <c r="AK43" s="43"/>
    </row>
    <row r="44" spans="1:38" ht="24" hidden="1" customHeight="1">
      <c r="A44" s="65"/>
      <c r="B44" s="66"/>
      <c r="C44" s="65"/>
      <c r="D44" s="63">
        <f>IF('DDR3 Config'!$G$1=1,'DDR3 Spec'!D6,IF('DDR3 Config'!$G$1=2,'DDR3 Spec'!O6,IF('DDR3 Config'!$G$1=3,'DDR3 Spec'!Z6,'DDR3 Spec'!#REF!)))</f>
        <v>1.575</v>
      </c>
      <c r="E44" s="63">
        <f>IF('DDR3 Config'!$G$1=1,'DDR3 Spec'!E6,IF('DDR3 Config'!$G$1=2,'DDR3 Spec'!P6,IF('DDR3 Config'!$G$1=3,'DDR3 Spec'!X6,'DDR3 Spec'!AI6)))</f>
        <v>1.575</v>
      </c>
      <c r="F44" s="63">
        <f>IF('DDR3 Config'!$G$1=1,'DDR3 Spec'!F6,IF('DDR3 Config'!$G$1=2,'DDR3 Spec'!Q6,IF('DDR3 Config'!$G$1=3,'DDR3 Spec'!Y6,'DDR3 Spec'!AJ6)))</f>
        <v>1.575</v>
      </c>
      <c r="G44" s="63">
        <f>IF('DDR3 Config'!$G$1=1,'DDR3 Spec'!G6,IF('DDR3 Config'!$G$1=2,'DDR3 Spec'!R6,IF('DDR3 Config'!$G$1=3,'DDR3 Spec'!Z6,'DDR3 Spec'!#REF!)))</f>
        <v>1.575</v>
      </c>
      <c r="H44" s="63">
        <f>IF('DDR3 Config'!$G$1=1,'DDR3 Spec'!H6,IF('DDR3 Config'!$G$1=2,'DDR3 Spec'!S6,IF('DDR3 Config'!$G$1=3,'DDR3 Spec'!AD6,'DDR3 Spec'!#REF!)))</f>
        <v>1.575</v>
      </c>
      <c r="I44" s="63">
        <f>IF('DDR3 Config'!$G$1=1,'DDR3 Spec'!I6,IF('DDR3 Config'!$G$1=2,'DDR3 Spec'!T6,IF('DDR3 Config'!$G$1=3,'DDR3 Spec'!AE6,'DDR3 Spec'!#REF!)))</f>
        <v>1.575</v>
      </c>
      <c r="J44" s="63">
        <f>IF('DDR3 Config'!$G$1=1,'DDR3 Spec'!J6,IF('DDR3 Config'!$G$1=2,'DDR3 Spec'!U6,IF('DDR3 Config'!$G$1=3,'DDR3 Spec'!AF6,'DDR3 Spec'!#REF!)))</f>
        <v>1.575</v>
      </c>
      <c r="K44" s="63">
        <f>IF('DDR3 Config'!$G$1=1,'DDR3 Spec'!K6,IF('DDR3 Config'!$G$1=2,'DDR3 Spec'!V6,IF('DDR3 Config'!$G$1=3,'DDR3 Spec'!AG6,'DDR3 Spec'!#REF!)))</f>
        <v>1.575</v>
      </c>
      <c r="L44" s="63">
        <f>IF('DDR3 Config'!$G$1=1,'DDR3 Spec'!L6,IF('DDR3 Config'!$G$1=2,'DDR3 Spec'!W6,IF('DDR3 Config'!$G$1=3,'DDR3 Spec'!AH6,'DDR3 Spec'!#REF!)))</f>
        <v>1.575</v>
      </c>
      <c r="M44" s="63">
        <f>IF('DDR3 Config'!$G$1=1,'DDR3 Spec'!M6,IF('DDR3 Config'!$G$1=2,'DDR3 Spec'!X6,IF('DDR3 Config'!$G$1=3,'DDR3 Spec'!AI6,'DDR3 Spec'!#REF!)))</f>
        <v>1.575</v>
      </c>
      <c r="N44" s="63"/>
      <c r="O44" s="63"/>
      <c r="P44" s="63"/>
      <c r="Q44" s="63"/>
      <c r="R44" s="63"/>
      <c r="S44" s="63"/>
      <c r="T44" s="63"/>
      <c r="U44" s="63"/>
      <c r="V44" s="63"/>
      <c r="W44" s="63">
        <f>HLOOKUP($W$43,$D$43:$M$77,2)</f>
        <v>1.575</v>
      </c>
      <c r="X44" s="63"/>
      <c r="Y44" s="63"/>
      <c r="Z44" s="63"/>
      <c r="AA44" s="63"/>
      <c r="AB44" s="63"/>
      <c r="AC44" s="63"/>
      <c r="AD44" s="63"/>
      <c r="AE44" s="63"/>
      <c r="AF44" s="63"/>
      <c r="AG44" s="63"/>
      <c r="AH44" s="63"/>
      <c r="AI44" s="63"/>
      <c r="AJ44" s="63"/>
      <c r="AK44" s="43"/>
    </row>
    <row r="45" spans="1:38" ht="24" hidden="1" customHeight="1">
      <c r="A45" s="65"/>
      <c r="B45" s="66"/>
      <c r="C45" s="65"/>
      <c r="D45" s="63">
        <f>IF('DDR3 Config'!$G$1=1,'DDR3 Spec'!D7,IF('DDR3 Config'!$G$1=2,'DDR3 Spec'!O7,IF('DDR3 Config'!$G$1=3,'DDR3 Spec'!Z7,'DDR3 Spec'!#REF!)))</f>
        <v>1.425</v>
      </c>
      <c r="E45" s="63">
        <f>IF('DDR3 Config'!$G$1=1,'DDR3 Spec'!E7,IF('DDR3 Config'!$G$1=2,'DDR3 Spec'!P7,IF('DDR3 Config'!$G$1=3,'DDR3 Spec'!X7,'DDR3 Spec'!AI7)))</f>
        <v>1.425</v>
      </c>
      <c r="F45" s="63">
        <f>IF('DDR3 Config'!$G$1=1,'DDR3 Spec'!F7,IF('DDR3 Config'!$G$1=2,'DDR3 Spec'!Q7,IF('DDR3 Config'!$G$1=3,'DDR3 Spec'!Y7,'DDR3 Spec'!AJ7)))</f>
        <v>1.425</v>
      </c>
      <c r="G45" s="63">
        <f>IF('DDR3 Config'!$G$1=1,'DDR3 Spec'!G7,IF('DDR3 Config'!$G$1=2,'DDR3 Spec'!R7,IF('DDR3 Config'!$G$1=3,'DDR3 Spec'!Z7,'DDR3 Spec'!#REF!)))</f>
        <v>1.425</v>
      </c>
      <c r="H45" s="63">
        <f>IF('DDR3 Config'!$G$1=1,'DDR3 Spec'!H7,IF('DDR3 Config'!$G$1=2,'DDR3 Spec'!S7,IF('DDR3 Config'!$G$1=3,'DDR3 Spec'!AD7,'DDR3 Spec'!#REF!)))</f>
        <v>1.425</v>
      </c>
      <c r="I45" s="63">
        <f>IF('DDR3 Config'!$G$1=1,'DDR3 Spec'!I7,IF('DDR3 Config'!$G$1=2,'DDR3 Spec'!T7,IF('DDR3 Config'!$G$1=3,'DDR3 Spec'!AE7,'DDR3 Spec'!#REF!)))</f>
        <v>1.425</v>
      </c>
      <c r="J45" s="63">
        <f>IF('DDR3 Config'!$G$1=1,'DDR3 Spec'!J7,IF('DDR3 Config'!$G$1=2,'DDR3 Spec'!U7,IF('DDR3 Config'!$G$1=3,'DDR3 Spec'!AF7,'DDR3 Spec'!#REF!)))</f>
        <v>1.425</v>
      </c>
      <c r="K45" s="63">
        <f>IF('DDR3 Config'!$G$1=1,'DDR3 Spec'!K7,IF('DDR3 Config'!$G$1=2,'DDR3 Spec'!V7,IF('DDR3 Config'!$G$1=3,'DDR3 Spec'!AG7,'DDR3 Spec'!#REF!)))</f>
        <v>1.425</v>
      </c>
      <c r="L45" s="63">
        <f>IF('DDR3 Config'!$G$1=1,'DDR3 Spec'!L7,IF('DDR3 Config'!$G$1=2,'DDR3 Spec'!W7,IF('DDR3 Config'!$G$1=3,'DDR3 Spec'!AH7,'DDR3 Spec'!#REF!)))</f>
        <v>1.425</v>
      </c>
      <c r="M45" s="63">
        <f>IF('DDR3 Config'!$G$1=1,'DDR3 Spec'!M7,IF('DDR3 Config'!$G$1=2,'DDR3 Spec'!X7,IF('DDR3 Config'!$G$1=3,'DDR3 Spec'!AI7,'DDR3 Spec'!#REF!)))</f>
        <v>1.425</v>
      </c>
      <c r="N45" s="63"/>
      <c r="O45" s="63"/>
      <c r="P45" s="63"/>
      <c r="Q45" s="63" t="s">
        <v>259</v>
      </c>
      <c r="R45" s="63"/>
      <c r="S45" s="63"/>
      <c r="T45" s="63"/>
      <c r="U45" s="63"/>
      <c r="V45" s="63"/>
      <c r="W45" s="63">
        <f>HLOOKUP($W$43,$D$43:$M$77,3)</f>
        <v>1.425</v>
      </c>
      <c r="X45" s="63"/>
      <c r="Y45" s="63"/>
      <c r="Z45" s="63"/>
      <c r="AA45" s="63"/>
      <c r="AB45" s="63"/>
      <c r="AC45" s="63"/>
      <c r="AD45" s="63"/>
      <c r="AE45" s="63"/>
      <c r="AF45" s="63"/>
      <c r="AG45" s="63"/>
      <c r="AH45" s="63"/>
      <c r="AI45" s="63"/>
      <c r="AJ45" s="63"/>
      <c r="AK45" s="43"/>
    </row>
    <row r="46" spans="1:38" ht="24" hidden="1" customHeight="1">
      <c r="A46" s="65"/>
      <c r="B46" s="66"/>
      <c r="C46" s="65"/>
      <c r="D46" s="63"/>
      <c r="E46" s="63"/>
      <c r="F46" s="63"/>
      <c r="G46" s="63"/>
      <c r="H46" s="63"/>
      <c r="I46" s="63"/>
      <c r="J46" s="63"/>
      <c r="K46" s="63"/>
      <c r="L46" s="63"/>
      <c r="M46" s="63"/>
      <c r="N46" s="63"/>
      <c r="O46" s="63"/>
      <c r="P46" s="63"/>
      <c r="Q46" s="63"/>
      <c r="R46" s="63"/>
      <c r="S46" s="63"/>
      <c r="T46" s="63"/>
      <c r="U46" s="63"/>
      <c r="V46" s="63"/>
      <c r="W46" s="63"/>
      <c r="X46" s="63"/>
      <c r="Y46" s="63"/>
      <c r="Z46" s="63"/>
      <c r="AA46" s="63"/>
      <c r="AB46" s="63"/>
      <c r="AC46" s="63"/>
      <c r="AD46" s="63"/>
      <c r="AE46" s="63"/>
      <c r="AF46" s="63"/>
      <c r="AG46" s="63"/>
      <c r="AH46" s="63"/>
      <c r="AI46" s="63"/>
      <c r="AJ46" s="63"/>
      <c r="AK46" s="43"/>
    </row>
    <row r="47" spans="1:38" ht="24" hidden="1" customHeight="1">
      <c r="A47" s="65"/>
      <c r="B47" s="66"/>
      <c r="C47" s="262" t="s">
        <v>184</v>
      </c>
      <c r="D47" s="63">
        <f>IF('DDR3 Config'!$G$1=1,'DDR3 Spec'!D9,IF('DDR3 Config'!$G$1=2,'DDR3 Spec'!O9,IF('DDR3 Config'!$G$1=3,'DDR3 Spec'!Z9,'DDR3 Spec'!AL9)))</f>
        <v>120</v>
      </c>
      <c r="E47" s="63">
        <f>IF('DDR3 Config'!$G$1=1,'DDR3 Spec'!E9,IF('DDR3 Config'!$G$1=2,'DDR3 Spec'!P9,IF('DDR3 Config'!$G$1=3,'DDR3 Spec'!AA9,'DDR3 Spec'!AM9)))</f>
        <v>120</v>
      </c>
      <c r="F47" s="63">
        <f>IF('DDR3 Config'!$G$1=1,'DDR3 Spec'!F9,IF('DDR3 Config'!$G$1=2,'DDR3 Spec'!Q9,IF('DDR3 Config'!$G$1=3,'DDR3 Spec'!AB9,'DDR3 Spec'!AN9)))</f>
        <v>105</v>
      </c>
      <c r="G47" s="63">
        <f>IF('DDR3 Config'!$G$1=1,'DDR3 Spec'!G9,IF('DDR3 Config'!$G$1=2,'DDR3 Spec'!R9,IF('DDR3 Config'!$G$1=3,'DDR3 Spec'!AC9,'DDR3 Spec'!AO9)))</f>
        <v>105</v>
      </c>
      <c r="H47" s="63">
        <f>IF('DDR3 Config'!$G$1=1,'DDR3 Spec'!H9,IF('DDR3 Config'!$G$1=2,'DDR3 Spec'!S9,IF('DDR3 Config'!$G$1=3,'DDR3 Spec'!AD9,'DDR3 Spec'!AP9)))</f>
        <v>95</v>
      </c>
      <c r="I47" s="63">
        <f>IF('DDR3 Config'!$G$1=1,'DDR3 Spec'!I9,IF('DDR3 Config'!$G$1=2,'DDR3 Spec'!T9,IF('DDR3 Config'!$G$1=3,'DDR3 Spec'!AE9,'DDR3 Spec'!AQ9)))</f>
        <v>95</v>
      </c>
      <c r="J47" s="63">
        <f>IF('DDR3 Config'!$G$1=1,'DDR3 Spec'!J9,IF('DDR3 Config'!$G$1=2,'DDR3 Spec'!U9,IF('DDR3 Config'!$G$1=3,'DDR3 Spec'!AF9,'DDR3 Spec'!AR9)))</f>
        <v>85</v>
      </c>
      <c r="K47" s="63">
        <f>IF('DDR3 Config'!$G$1=1,'DDR3 Spec'!K9,IF('DDR3 Config'!$G$1=2,'DDR3 Spec'!V9,IF('DDR3 Config'!$G$1=3,'DDR3 Spec'!AG9,'DDR3 Spec'!AS9)))</f>
        <v>75</v>
      </c>
      <c r="L47" s="63">
        <f>IF('DDR3 Config'!$G$1=1,'DDR3 Spec'!L9,IF('DDR3 Config'!$G$1=2,'DDR3 Spec'!W9,IF('DDR3 Config'!$G$1=3,'DDR3 Spec'!AH9,'DDR3 Spec'!AT9)))</f>
        <v>75</v>
      </c>
      <c r="M47" s="63">
        <f>IF('DDR3 Config'!$G$1=1,'DDR3 Spec'!M9,IF('DDR3 Config'!$G$1=2,'DDR3 Spec'!X9,IF('DDR3 Config'!$G$1=3,'DDR3 Spec'!AI9,'DDR3 Spec'!AU9)))</f>
        <v>70</v>
      </c>
      <c r="N47" s="63"/>
      <c r="O47" s="63"/>
      <c r="P47" s="63"/>
      <c r="Q47" s="63"/>
      <c r="R47" s="63"/>
      <c r="S47" s="63"/>
      <c r="T47" s="63"/>
      <c r="U47" s="63"/>
      <c r="V47" s="63"/>
      <c r="W47" s="63">
        <f>HLOOKUP($W$43,$D$43:$M$77,5)</f>
        <v>120</v>
      </c>
      <c r="X47" s="63"/>
      <c r="Y47" s="63"/>
      <c r="Z47" s="63"/>
      <c r="AA47" s="63"/>
      <c r="AB47" s="63"/>
      <c r="AC47" s="63"/>
      <c r="AD47" s="63"/>
      <c r="AE47" s="63"/>
      <c r="AF47" s="63"/>
      <c r="AG47" s="63"/>
      <c r="AH47" s="63"/>
      <c r="AI47" s="63"/>
      <c r="AJ47" s="63"/>
      <c r="AK47" s="43"/>
    </row>
    <row r="48" spans="1:38" ht="24" hidden="1" customHeight="1">
      <c r="A48" s="65"/>
      <c r="B48" s="66"/>
      <c r="C48" s="262"/>
      <c r="D48" s="63">
        <f>IF('DDR3 Config'!$G$1=1,'DDR3 Spec'!D10,IF('DDR3 Config'!$G$1=2,'DDR3 Spec'!O10,IF('DDR3 Config'!$G$1=3,'DDR3 Spec'!Z10,'DDR3 Spec'!AL10)))</f>
        <v>135</v>
      </c>
      <c r="E48" s="63">
        <f>IF('DDR3 Config'!$G$1=1,'DDR3 Spec'!E10,IF('DDR3 Config'!$G$1=2,'DDR3 Spec'!P10,IF('DDR3 Config'!$G$1=3,'DDR3 Spec'!AA10,'DDR3 Spec'!AM10)))</f>
        <v>135</v>
      </c>
      <c r="F48" s="63">
        <f>IF('DDR3 Config'!$G$1=1,'DDR3 Spec'!F10,IF('DDR3 Config'!$G$1=2,'DDR3 Spec'!Q10,IF('DDR3 Config'!$G$1=3,'DDR3 Spec'!AB10,'DDR3 Spec'!AN10)))</f>
        <v>120</v>
      </c>
      <c r="G48" s="63">
        <f>IF('DDR3 Config'!$G$1=1,'DDR3 Spec'!G10,IF('DDR3 Config'!$G$1=2,'DDR3 Spec'!R10,IF('DDR3 Config'!$G$1=3,'DDR3 Spec'!AC10,'DDR3 Spec'!AO10)))</f>
        <v>120</v>
      </c>
      <c r="H48" s="63">
        <f>IF('DDR3 Config'!$G$1=1,'DDR3 Spec'!H10,IF('DDR3 Config'!$G$1=2,'DDR3 Spec'!S10,IF('DDR3 Config'!$G$1=3,'DDR3 Spec'!AD10,'DDR3 Spec'!AP10)))</f>
        <v>110</v>
      </c>
      <c r="I48" s="63">
        <f>IF('DDR3 Config'!$G$1=1,'DDR3 Spec'!I10,IF('DDR3 Config'!$G$1=2,'DDR3 Spec'!T10,IF('DDR3 Config'!$G$1=3,'DDR3 Spec'!AE10,'DDR3 Spec'!AQ10)))</f>
        <v>110</v>
      </c>
      <c r="J48" s="63">
        <f>IF('DDR3 Config'!$G$1=1,'DDR3 Spec'!J10,IF('DDR3 Config'!$G$1=2,'DDR3 Spec'!U10,IF('DDR3 Config'!$G$1=3,'DDR3 Spec'!AF10,'DDR3 Spec'!AR10)))</f>
        <v>100</v>
      </c>
      <c r="K48" s="63">
        <f>IF('DDR3 Config'!$G$1=1,'DDR3 Spec'!K10,IF('DDR3 Config'!$G$1=2,'DDR3 Spec'!V10,IF('DDR3 Config'!$G$1=3,'DDR3 Spec'!AG10,'DDR3 Spec'!AS10)))</f>
        <v>90</v>
      </c>
      <c r="L48" s="63">
        <f>IF('DDR3 Config'!$G$1=1,'DDR3 Spec'!L10,IF('DDR3 Config'!$G$1=2,'DDR3 Spec'!W10,IF('DDR3 Config'!$G$1=3,'DDR3 Spec'!AH10,'DDR3 Spec'!AT10)))</f>
        <v>90</v>
      </c>
      <c r="M48" s="63">
        <f>IF('DDR3 Config'!$G$1=1,'DDR3 Spec'!M10,IF('DDR3 Config'!$G$1=2,'DDR3 Spec'!X10,IF('DDR3 Config'!$G$1=3,'DDR3 Spec'!AI10,'DDR3 Spec'!AU10)))</f>
        <v>80</v>
      </c>
      <c r="N48" s="63"/>
      <c r="O48" s="63"/>
      <c r="P48" s="63"/>
      <c r="Q48" s="63"/>
      <c r="R48" s="63"/>
      <c r="S48" s="63"/>
      <c r="T48" s="63"/>
      <c r="U48" s="63"/>
      <c r="V48" s="63"/>
      <c r="W48" s="63">
        <f>HLOOKUP($W$43,$D$43:$M$77,6)</f>
        <v>135</v>
      </c>
      <c r="X48" s="63"/>
      <c r="Y48" s="63"/>
      <c r="Z48" s="63"/>
      <c r="AA48" s="63"/>
      <c r="AB48" s="63"/>
      <c r="AC48" s="63"/>
      <c r="AD48" s="63"/>
      <c r="AE48" s="63"/>
      <c r="AF48" s="63"/>
      <c r="AG48" s="63"/>
      <c r="AH48" s="63"/>
      <c r="AI48" s="63"/>
      <c r="AJ48" s="63"/>
      <c r="AK48" s="43"/>
    </row>
    <row r="49" spans="1:37" ht="24" hidden="1" customHeight="1">
      <c r="A49" s="65"/>
      <c r="B49" s="66"/>
      <c r="C49" s="263" t="s">
        <v>221</v>
      </c>
      <c r="D49" s="63">
        <f>IF('DDR3 Config'!$G$1=1,'DDR3 Spec'!D11,IF('DDR3 Config'!$G$1=2,'DDR3 Spec'!O11,IF('DDR3 Config'!$G$1=3,'DDR3 Spec'!Z11,'DDR3 Spec'!AL11)))</f>
        <v>15</v>
      </c>
      <c r="E49" s="63">
        <f>IF('DDR3 Config'!$G$1=1,'DDR3 Spec'!E11,IF('DDR3 Config'!$G$1=2,'DDR3 Spec'!P11,IF('DDR3 Config'!$G$1=3,'DDR3 Spec'!AA11,'DDR3 Spec'!AM11)))</f>
        <v>15</v>
      </c>
      <c r="F49" s="63">
        <f>IF('DDR3 Config'!$G$1=1,'DDR3 Spec'!F11,IF('DDR3 Config'!$G$1=2,'DDR3 Spec'!Q11,IF('DDR3 Config'!$G$1=3,'DDR3 Spec'!AB11,'DDR3 Spec'!AN11)))</f>
        <v>12</v>
      </c>
      <c r="G49" s="63">
        <f>IF('DDR3 Config'!$G$1=1,'DDR3 Spec'!G11,IF('DDR3 Config'!$G$1=2,'DDR3 Spec'!R11,IF('DDR3 Config'!$G$1=3,'DDR3 Spec'!AC11,'DDR3 Spec'!AO11)))</f>
        <v>12</v>
      </c>
      <c r="H49" s="63">
        <f>IF('DDR3 Config'!$G$1=1,'DDR3 Spec'!H11,IF('DDR3 Config'!$G$1=2,'DDR3 Spec'!S11,IF('DDR3 Config'!$G$1=3,'DDR3 Spec'!AD11,'DDR3 Spec'!AP11)))</f>
        <v>12</v>
      </c>
      <c r="I49" s="63">
        <f>IF('DDR3 Config'!$G$1=1,'DDR3 Spec'!I11,IF('DDR3 Config'!$G$1=2,'DDR3 Spec'!T11,IF('DDR3 Config'!$G$1=3,'DDR3 Spec'!AE11,'DDR3 Spec'!AQ11)))</f>
        <v>12</v>
      </c>
      <c r="J49" s="63">
        <f>IF('DDR3 Config'!$G$1=1,'DDR3 Spec'!J11,IF('DDR3 Config'!$G$1=2,'DDR3 Spec'!U11,IF('DDR3 Config'!$G$1=3,'DDR3 Spec'!AF11,'DDR3 Spec'!AR11)))</f>
        <v>12</v>
      </c>
      <c r="K49" s="63">
        <f>IF('DDR3 Config'!$G$1=1,'DDR3 Spec'!K11,IF('DDR3 Config'!$G$1=2,'DDR3 Spec'!V11,IF('DDR3 Config'!$G$1=3,'DDR3 Spec'!AG11,'DDR3 Spec'!AS11)))</f>
        <v>12</v>
      </c>
      <c r="L49" s="63">
        <f>IF('DDR3 Config'!$G$1=1,'DDR3 Spec'!L11,IF('DDR3 Config'!$G$1=2,'DDR3 Spec'!W11,IF('DDR3 Config'!$G$1=3,'DDR3 Spec'!AH11,'DDR3 Spec'!AT11)))</f>
        <v>12</v>
      </c>
      <c r="M49" s="63">
        <f>IF('DDR3 Config'!$G$1=1,'DDR3 Spec'!M11,IF('DDR3 Config'!$G$1=2,'DDR3 Spec'!X11,IF('DDR3 Config'!$G$1=3,'DDR3 Spec'!AI11,'DDR3 Spec'!AU11)))</f>
        <v>12</v>
      </c>
      <c r="N49" s="63"/>
      <c r="O49" s="63"/>
      <c r="P49" s="63"/>
      <c r="Q49" s="63"/>
      <c r="R49" s="63"/>
      <c r="S49" s="63"/>
      <c r="T49" s="63"/>
      <c r="U49" s="63"/>
      <c r="V49" s="63"/>
      <c r="W49" s="63">
        <f>HLOOKUP($W$43,$D$43:$M$77,7)</f>
        <v>15</v>
      </c>
      <c r="X49" s="63"/>
      <c r="Y49" s="63"/>
      <c r="Z49" s="63"/>
      <c r="AA49" s="63"/>
      <c r="AB49" s="63"/>
      <c r="AC49" s="63"/>
      <c r="AD49" s="63"/>
      <c r="AE49" s="63"/>
      <c r="AF49" s="63"/>
      <c r="AG49" s="63"/>
      <c r="AH49" s="63"/>
      <c r="AI49" s="63"/>
      <c r="AJ49" s="63"/>
      <c r="AK49" s="43"/>
    </row>
    <row r="50" spans="1:37" ht="24" hidden="1" customHeight="1">
      <c r="A50" s="65"/>
      <c r="B50" s="66"/>
      <c r="C50" s="264"/>
      <c r="D50" s="63">
        <f>IF('DDR3 Config'!$G$1=1,'DDR3 Spec'!D12,IF('DDR3 Config'!$G$1=2,'DDR3 Spec'!O12,IF('DDR3 Config'!$G$1=3,'DDR3 Spec'!Z12,'DDR3 Spec'!AL12)))</f>
        <v>15</v>
      </c>
      <c r="E50" s="63">
        <f>IF('DDR3 Config'!$G$1=1,'DDR3 Spec'!E12,IF('DDR3 Config'!$G$1=2,'DDR3 Spec'!P12,IF('DDR3 Config'!$G$1=3,'DDR3 Spec'!AA12,'DDR3 Spec'!AM12)))</f>
        <v>15</v>
      </c>
      <c r="F50" s="63">
        <f>IF('DDR3 Config'!$G$1=1,'DDR3 Spec'!F12,IF('DDR3 Config'!$G$1=2,'DDR3 Spec'!Q12,IF('DDR3 Config'!$G$1=3,'DDR3 Spec'!AB12,'DDR3 Spec'!AN12)))</f>
        <v>12</v>
      </c>
      <c r="G50" s="63">
        <f>IF('DDR3 Config'!$G$1=1,'DDR3 Spec'!G12,IF('DDR3 Config'!$G$1=2,'DDR3 Spec'!R12,IF('DDR3 Config'!$G$1=3,'DDR3 Spec'!AC12,'DDR3 Spec'!AO12)))</f>
        <v>12</v>
      </c>
      <c r="H50" s="63">
        <f>IF('DDR3 Config'!$G$1=1,'DDR3 Spec'!H12,IF('DDR3 Config'!$G$1=2,'DDR3 Spec'!S12,IF('DDR3 Config'!$G$1=3,'DDR3 Spec'!AD12,'DDR3 Spec'!AP12)))</f>
        <v>12</v>
      </c>
      <c r="I50" s="63">
        <f>IF('DDR3 Config'!$G$1=1,'DDR3 Spec'!I12,IF('DDR3 Config'!$G$1=2,'DDR3 Spec'!T12,IF('DDR3 Config'!$G$1=3,'DDR3 Spec'!AE12,'DDR3 Spec'!AQ12)))</f>
        <v>12</v>
      </c>
      <c r="J50" s="63">
        <f>IF('DDR3 Config'!$G$1=1,'DDR3 Spec'!J12,IF('DDR3 Config'!$G$1=2,'DDR3 Spec'!U12,IF('DDR3 Config'!$G$1=3,'DDR3 Spec'!AF12,'DDR3 Spec'!AR12)))</f>
        <v>12</v>
      </c>
      <c r="K50" s="63">
        <f>IF('DDR3 Config'!$G$1=1,'DDR3 Spec'!K12,IF('DDR3 Config'!$G$1=2,'DDR3 Spec'!V12,IF('DDR3 Config'!$G$1=3,'DDR3 Spec'!AG12,'DDR3 Spec'!AS12)))</f>
        <v>12</v>
      </c>
      <c r="L50" s="63">
        <f>IF('DDR3 Config'!$G$1=1,'DDR3 Spec'!L12,IF('DDR3 Config'!$G$1=2,'DDR3 Spec'!W12,IF('DDR3 Config'!$G$1=3,'DDR3 Spec'!AH12,'DDR3 Spec'!AT12)))</f>
        <v>12</v>
      </c>
      <c r="M50" s="63">
        <f>IF('DDR3 Config'!$G$1=1,'DDR3 Spec'!M12,IF('DDR3 Config'!$G$1=2,'DDR3 Spec'!X12,IF('DDR3 Config'!$G$1=3,'DDR3 Spec'!AI12,'DDR3 Spec'!AU12)))</f>
        <v>12</v>
      </c>
      <c r="N50" s="63"/>
      <c r="O50" s="63"/>
      <c r="P50" s="63"/>
      <c r="Q50" s="63"/>
      <c r="R50" s="63"/>
      <c r="S50" s="63"/>
      <c r="T50" s="63"/>
      <c r="U50" s="63"/>
      <c r="V50" s="63"/>
      <c r="W50" s="63">
        <f>HLOOKUP($W$43,$D$43:$M$77,8)</f>
        <v>15</v>
      </c>
      <c r="X50" s="63"/>
      <c r="Y50" s="63"/>
      <c r="Z50" s="63"/>
      <c r="AA50" s="63"/>
      <c r="AB50" s="63"/>
      <c r="AC50" s="63"/>
      <c r="AD50" s="63"/>
      <c r="AE50" s="63"/>
      <c r="AF50" s="63"/>
      <c r="AG50" s="63"/>
      <c r="AH50" s="63"/>
      <c r="AI50" s="63"/>
      <c r="AJ50" s="63"/>
      <c r="AK50" s="43"/>
    </row>
    <row r="51" spans="1:37" ht="24" hidden="1" customHeight="1">
      <c r="A51" s="65"/>
      <c r="B51" s="66"/>
      <c r="C51" s="265" t="s">
        <v>222</v>
      </c>
      <c r="D51" s="63">
        <f>IF('DDR3 Config'!$G$1=1,'DDR3 Spec'!D13,IF('DDR3 Config'!$G$1=2,'DDR3 Spec'!O13,IF('DDR3 Config'!$G$1=3,'DDR3 Spec'!Z13,'DDR3 Spec'!AL13)))</f>
        <v>45</v>
      </c>
      <c r="E51" s="63">
        <f>IF('DDR3 Config'!$G$1=1,'DDR3 Spec'!E13,IF('DDR3 Config'!$G$1=2,'DDR3 Spec'!P13,IF('DDR3 Config'!$G$1=3,'DDR3 Spec'!AA13,'DDR3 Spec'!AM13)))</f>
        <v>45</v>
      </c>
      <c r="F51" s="63">
        <f>IF('DDR3 Config'!$G$1=1,'DDR3 Spec'!F13,IF('DDR3 Config'!$G$1=2,'DDR3 Spec'!Q13,IF('DDR3 Config'!$G$1=3,'DDR3 Spec'!AB13,'DDR3 Spec'!AN13)))</f>
        <v>40</v>
      </c>
      <c r="G51" s="63">
        <f>IF('DDR3 Config'!$G$1=1,'DDR3 Spec'!G13,IF('DDR3 Config'!$G$1=2,'DDR3 Spec'!R13,IF('DDR3 Config'!$G$1=3,'DDR3 Spec'!AC13,'DDR3 Spec'!AO13)))</f>
        <v>40</v>
      </c>
      <c r="H51" s="63">
        <f>IF('DDR3 Config'!$G$1=1,'DDR3 Spec'!H13,IF('DDR3 Config'!$G$1=2,'DDR3 Spec'!S13,IF('DDR3 Config'!$G$1=3,'DDR3 Spec'!AD13,'DDR3 Spec'!AP13)))</f>
        <v>35</v>
      </c>
      <c r="I51" s="63">
        <f>IF('DDR3 Config'!$G$1=1,'DDR3 Spec'!I13,IF('DDR3 Config'!$G$1=2,'DDR3 Spec'!T13,IF('DDR3 Config'!$G$1=3,'DDR3 Spec'!AE13,'DDR3 Spec'!AQ13)))</f>
        <v>35</v>
      </c>
      <c r="J51" s="63">
        <f>IF('DDR3 Config'!$G$1=1,'DDR3 Spec'!J13,IF('DDR3 Config'!$G$1=2,'DDR3 Spec'!U13,IF('DDR3 Config'!$G$1=3,'DDR3 Spec'!AF13,'DDR3 Spec'!AR13)))</f>
        <v>30</v>
      </c>
      <c r="K51" s="63">
        <f>IF('DDR3 Config'!$G$1=1,'DDR3 Spec'!K13,IF('DDR3 Config'!$G$1=2,'DDR3 Spec'!V13,IF('DDR3 Config'!$G$1=3,'DDR3 Spec'!AG13,'DDR3 Spec'!AS13)))</f>
        <v>25</v>
      </c>
      <c r="L51" s="63">
        <f>IF('DDR3 Config'!$G$1=1,'DDR3 Spec'!L13,IF('DDR3 Config'!$G$1=2,'DDR3 Spec'!W13,IF('DDR3 Config'!$G$1=3,'DDR3 Spec'!AH13,'DDR3 Spec'!AT13)))</f>
        <v>25</v>
      </c>
      <c r="M51" s="63">
        <f>IF('DDR3 Config'!$G$1=1,'DDR3 Spec'!M13,IF('DDR3 Config'!$G$1=2,'DDR3 Spec'!X13,IF('DDR3 Config'!$G$1=3,'DDR3 Spec'!AI13,'DDR3 Spec'!AU13)))</f>
        <v>20</v>
      </c>
      <c r="N51" s="63"/>
      <c r="O51" s="63"/>
      <c r="P51" s="63"/>
      <c r="Q51" s="63"/>
      <c r="R51" s="63"/>
      <c r="S51" s="63"/>
      <c r="T51" s="63"/>
      <c r="U51" s="63"/>
      <c r="V51" s="63"/>
      <c r="W51" s="63">
        <f>HLOOKUP($W$43,$D$43:$M$77,9)</f>
        <v>45</v>
      </c>
      <c r="X51" s="63"/>
      <c r="Y51" s="63"/>
      <c r="Z51" s="63"/>
      <c r="AA51" s="63"/>
      <c r="AB51" s="63"/>
      <c r="AC51" s="63"/>
      <c r="AD51" s="63"/>
      <c r="AE51" s="63"/>
      <c r="AF51" s="63"/>
      <c r="AG51" s="63"/>
      <c r="AH51" s="63"/>
      <c r="AI51" s="63"/>
      <c r="AJ51" s="63"/>
      <c r="AK51" s="43"/>
    </row>
    <row r="52" spans="1:37" ht="24" hidden="1" customHeight="1">
      <c r="A52" s="65"/>
      <c r="B52" s="66"/>
      <c r="C52" s="266"/>
      <c r="D52" s="63">
        <f>IF('DDR3 Config'!$G$1=1,'DDR3 Spec'!D14,IF('DDR3 Config'!$G$1=2,'DDR3 Spec'!O14,IF('DDR3 Config'!$G$1=3,'DDR3 Spec'!Z14,'DDR3 Spec'!AL14)))</f>
        <v>50</v>
      </c>
      <c r="E52" s="63">
        <f>IF('DDR3 Config'!$G$1=1,'DDR3 Spec'!E14,IF('DDR3 Config'!$G$1=2,'DDR3 Spec'!P14,IF('DDR3 Config'!$G$1=3,'DDR3 Spec'!AA14,'DDR3 Spec'!AM14)))</f>
        <v>50</v>
      </c>
      <c r="F52" s="63">
        <f>IF('DDR3 Config'!$G$1=1,'DDR3 Spec'!F14,IF('DDR3 Config'!$G$1=2,'DDR3 Spec'!Q14,IF('DDR3 Config'!$G$1=3,'DDR3 Spec'!AB14,'DDR3 Spec'!AN14)))</f>
        <v>45</v>
      </c>
      <c r="G52" s="63">
        <f>IF('DDR3 Config'!$G$1=1,'DDR3 Spec'!G14,IF('DDR3 Config'!$G$1=2,'DDR3 Spec'!R14,IF('DDR3 Config'!$G$1=3,'DDR3 Spec'!AC14,'DDR3 Spec'!AO14)))</f>
        <v>45</v>
      </c>
      <c r="H52" s="63">
        <f>IF('DDR3 Config'!$G$1=1,'DDR3 Spec'!H14,IF('DDR3 Config'!$G$1=2,'DDR3 Spec'!S14,IF('DDR3 Config'!$G$1=3,'DDR3 Spec'!AD14,'DDR3 Spec'!AP14)))</f>
        <v>40</v>
      </c>
      <c r="I52" s="63">
        <f>IF('DDR3 Config'!$G$1=1,'DDR3 Spec'!I14,IF('DDR3 Config'!$G$1=2,'DDR3 Spec'!T14,IF('DDR3 Config'!$G$1=3,'DDR3 Spec'!AE14,'DDR3 Spec'!AQ14)))</f>
        <v>40</v>
      </c>
      <c r="J52" s="63">
        <f>IF('DDR3 Config'!$G$1=1,'DDR3 Spec'!J14,IF('DDR3 Config'!$G$1=2,'DDR3 Spec'!U14,IF('DDR3 Config'!$G$1=3,'DDR3 Spec'!AF14,'DDR3 Spec'!AR14)))</f>
        <v>35</v>
      </c>
      <c r="K52" s="63">
        <f>IF('DDR3 Config'!$G$1=1,'DDR3 Spec'!K14,IF('DDR3 Config'!$G$1=2,'DDR3 Spec'!V14,IF('DDR3 Config'!$G$1=3,'DDR3 Spec'!AG14,'DDR3 Spec'!AS14)))</f>
        <v>30</v>
      </c>
      <c r="L52" s="63">
        <f>IF('DDR3 Config'!$G$1=1,'DDR3 Spec'!L14,IF('DDR3 Config'!$G$1=2,'DDR3 Spec'!W14,IF('DDR3 Config'!$G$1=3,'DDR3 Spec'!AH14,'DDR3 Spec'!AT14)))</f>
        <v>30</v>
      </c>
      <c r="M52" s="63">
        <f>IF('DDR3 Config'!$G$1=1,'DDR3 Spec'!M14,IF('DDR3 Config'!$G$1=2,'DDR3 Spec'!X14,IF('DDR3 Config'!$G$1=3,'DDR3 Spec'!AI14,'DDR3 Spec'!AU14)))</f>
        <v>25</v>
      </c>
      <c r="N52" s="63"/>
      <c r="O52" s="63"/>
      <c r="P52" s="63"/>
      <c r="Q52" s="63"/>
      <c r="R52" s="63"/>
      <c r="S52" s="63"/>
      <c r="T52" s="63"/>
      <c r="U52" s="63"/>
      <c r="V52" s="63"/>
      <c r="W52" s="63">
        <f>HLOOKUP($W$43,$D$43:$M$77,10)</f>
        <v>50</v>
      </c>
      <c r="X52" s="63"/>
      <c r="Y52" s="63"/>
      <c r="Z52" s="63"/>
      <c r="AA52" s="63"/>
      <c r="AB52" s="63"/>
      <c r="AC52" s="63"/>
      <c r="AD52" s="63"/>
      <c r="AE52" s="63"/>
      <c r="AF52" s="63"/>
      <c r="AG52" s="63"/>
      <c r="AH52" s="63"/>
      <c r="AI52" s="63"/>
      <c r="AJ52" s="63"/>
      <c r="AK52" s="43"/>
    </row>
    <row r="53" spans="1:37" ht="24" hidden="1" customHeight="1">
      <c r="A53" s="65"/>
      <c r="B53" s="66"/>
      <c r="C53" s="265" t="s">
        <v>185</v>
      </c>
      <c r="D53" s="63">
        <f>IF('DDR3 Config'!$G$1=1,'DDR3 Spec'!D15,IF('DDR3 Config'!$G$1=2,'DDR3 Spec'!O15,IF('DDR3 Config'!$G$1=3,'DDR3 Spec'!Z15,'DDR3 Spec'!AL15)))</f>
        <v>52</v>
      </c>
      <c r="E53" s="63">
        <f>IF('DDR3 Config'!$G$1=1,'DDR3 Spec'!E15,IF('DDR3 Config'!$G$1=2,'DDR3 Spec'!P15,IF('DDR3 Config'!$G$1=3,'DDR3 Spec'!AA15,'DDR3 Spec'!AM15)))</f>
        <v>52</v>
      </c>
      <c r="F53" s="63">
        <f>IF('DDR3 Config'!$G$1=1,'DDR3 Spec'!F15,IF('DDR3 Config'!$G$1=2,'DDR3 Spec'!Q15,IF('DDR3 Config'!$G$1=3,'DDR3 Spec'!AB15,'DDR3 Spec'!AN15)))</f>
        <v>47</v>
      </c>
      <c r="G53" s="63">
        <f>IF('DDR3 Config'!$G$1=1,'DDR3 Spec'!G15,IF('DDR3 Config'!$G$1=2,'DDR3 Spec'!R15,IF('DDR3 Config'!$G$1=3,'DDR3 Spec'!AC15,'DDR3 Spec'!AO15)))</f>
        <v>47</v>
      </c>
      <c r="H53" s="63">
        <f>IF('DDR3 Config'!$G$1=1,'DDR3 Spec'!H15,IF('DDR3 Config'!$G$1=2,'DDR3 Spec'!S15,IF('DDR3 Config'!$G$1=3,'DDR3 Spec'!AD15,'DDR3 Spec'!AP15)))</f>
        <v>42</v>
      </c>
      <c r="I53" s="63">
        <f>IF('DDR3 Config'!$G$1=1,'DDR3 Spec'!I15,IF('DDR3 Config'!$G$1=2,'DDR3 Spec'!T15,IF('DDR3 Config'!$G$1=3,'DDR3 Spec'!AE15,'DDR3 Spec'!AQ15)))</f>
        <v>42</v>
      </c>
      <c r="J53" s="63">
        <f>IF('DDR3 Config'!$G$1=1,'DDR3 Spec'!J15,IF('DDR3 Config'!$G$1=2,'DDR3 Spec'!U15,IF('DDR3 Config'!$G$1=3,'DDR3 Spec'!AF15,'DDR3 Spec'!AR15)))</f>
        <v>37</v>
      </c>
      <c r="K53" s="63">
        <f>IF('DDR3 Config'!$G$1=1,'DDR3 Spec'!K15,IF('DDR3 Config'!$G$1=2,'DDR3 Spec'!V15,IF('DDR3 Config'!$G$1=3,'DDR3 Spec'!AG15,'DDR3 Spec'!AS15)))</f>
        <v>32</v>
      </c>
      <c r="L53" s="63">
        <f>IF('DDR3 Config'!$G$1=1,'DDR3 Spec'!L15,IF('DDR3 Config'!$G$1=2,'DDR3 Spec'!W15,IF('DDR3 Config'!$G$1=3,'DDR3 Spec'!AH15,'DDR3 Spec'!AT15)))</f>
        <v>32</v>
      </c>
      <c r="M53" s="63">
        <f>IF('DDR3 Config'!$G$1=1,'DDR3 Spec'!M15,IF('DDR3 Config'!$G$1=2,'DDR3 Spec'!X15,IF('DDR3 Config'!$G$1=3,'DDR3 Spec'!AI15,'DDR3 Spec'!AU15)))</f>
        <v>27</v>
      </c>
      <c r="N53" s="63"/>
      <c r="O53" s="63"/>
      <c r="P53" s="63"/>
      <c r="Q53" s="63"/>
      <c r="R53" s="63"/>
      <c r="S53" s="63"/>
      <c r="T53" s="63"/>
      <c r="U53" s="63"/>
      <c r="V53" s="63"/>
      <c r="W53" s="63">
        <f>HLOOKUP($W$43,$D$43:$M$77,11)</f>
        <v>52</v>
      </c>
      <c r="X53" s="63"/>
      <c r="Y53" s="63"/>
      <c r="Z53" s="63"/>
      <c r="AA53" s="63"/>
      <c r="AB53" s="63"/>
      <c r="AC53" s="63"/>
      <c r="AD53" s="63"/>
      <c r="AE53" s="63"/>
      <c r="AF53" s="63"/>
      <c r="AG53" s="63"/>
      <c r="AH53" s="63"/>
      <c r="AI53" s="63"/>
      <c r="AJ53" s="63"/>
      <c r="AK53" s="43"/>
    </row>
    <row r="54" spans="1:37" ht="24" hidden="1" customHeight="1">
      <c r="A54" s="65"/>
      <c r="B54" s="66"/>
      <c r="C54" s="266"/>
      <c r="D54" s="63">
        <f>IF('DDR3 Config'!$G$1=1,'DDR3 Spec'!D16,IF('DDR3 Config'!$G$1=2,'DDR3 Spec'!O16,IF('DDR3 Config'!$G$1=3,'DDR3 Spec'!Z16,'DDR3 Spec'!AL16)))</f>
        <v>52</v>
      </c>
      <c r="E54" s="63">
        <f>IF('DDR3 Config'!$G$1=1,'DDR3 Spec'!E16,IF('DDR3 Config'!$G$1=2,'DDR3 Spec'!P16,IF('DDR3 Config'!$G$1=3,'DDR3 Spec'!AA16,'DDR3 Spec'!AM16)))</f>
        <v>52</v>
      </c>
      <c r="F54" s="63">
        <f>IF('DDR3 Config'!$G$1=1,'DDR3 Spec'!F16,IF('DDR3 Config'!$G$1=2,'DDR3 Spec'!Q16,IF('DDR3 Config'!$G$1=3,'DDR3 Spec'!AB16,'DDR3 Spec'!AN16)))</f>
        <v>47</v>
      </c>
      <c r="G54" s="63">
        <f>IF('DDR3 Config'!$G$1=1,'DDR3 Spec'!G16,IF('DDR3 Config'!$G$1=2,'DDR3 Spec'!R16,IF('DDR3 Config'!$G$1=3,'DDR3 Spec'!AC16,'DDR3 Spec'!AO16)))</f>
        <v>47</v>
      </c>
      <c r="H54" s="63">
        <f>IF('DDR3 Config'!$G$1=1,'DDR3 Spec'!H16,IF('DDR3 Config'!$G$1=2,'DDR3 Spec'!S16,IF('DDR3 Config'!$G$1=3,'DDR3 Spec'!AD16,'DDR3 Spec'!AP16)))</f>
        <v>42</v>
      </c>
      <c r="I54" s="63">
        <f>IF('DDR3 Config'!$G$1=1,'DDR3 Spec'!I16,IF('DDR3 Config'!$G$1=2,'DDR3 Spec'!T16,IF('DDR3 Config'!$G$1=3,'DDR3 Spec'!AE16,'DDR3 Spec'!AQ16)))</f>
        <v>42</v>
      </c>
      <c r="J54" s="63">
        <f>IF('DDR3 Config'!$G$1=1,'DDR3 Spec'!J16,IF('DDR3 Config'!$G$1=2,'DDR3 Spec'!U16,IF('DDR3 Config'!$G$1=3,'DDR3 Spec'!AF16,'DDR3 Spec'!AR16)))</f>
        <v>37</v>
      </c>
      <c r="K54" s="63">
        <f>IF('DDR3 Config'!$G$1=1,'DDR3 Spec'!K16,IF('DDR3 Config'!$G$1=2,'DDR3 Spec'!V16,IF('DDR3 Config'!$G$1=3,'DDR3 Spec'!AG16,'DDR3 Spec'!AS16)))</f>
        <v>32</v>
      </c>
      <c r="L54" s="63">
        <f>IF('DDR3 Config'!$G$1=1,'DDR3 Spec'!L16,IF('DDR3 Config'!$G$1=2,'DDR3 Spec'!W16,IF('DDR3 Config'!$G$1=3,'DDR3 Spec'!AH16,'DDR3 Spec'!AT16)))</f>
        <v>32</v>
      </c>
      <c r="M54" s="63">
        <f>IF('DDR3 Config'!$G$1=1,'DDR3 Spec'!M16,IF('DDR3 Config'!$G$1=2,'DDR3 Spec'!X16,IF('DDR3 Config'!$G$1=3,'DDR3 Spec'!AI16,'DDR3 Spec'!AU16)))</f>
        <v>27</v>
      </c>
      <c r="N54" s="63"/>
      <c r="O54" s="63"/>
      <c r="P54" s="63"/>
      <c r="Q54" s="63"/>
      <c r="R54" s="63"/>
      <c r="S54" s="63"/>
      <c r="T54" s="63"/>
      <c r="U54" s="63"/>
      <c r="V54" s="63"/>
      <c r="W54" s="63">
        <f>HLOOKUP($W$43,$D$43:$M$77,12)</f>
        <v>52</v>
      </c>
      <c r="X54" s="63"/>
      <c r="Y54" s="63"/>
      <c r="Z54" s="63"/>
      <c r="AA54" s="63"/>
      <c r="AB54" s="63"/>
      <c r="AC54" s="63"/>
      <c r="AD54" s="63"/>
      <c r="AE54" s="63"/>
      <c r="AF54" s="63"/>
      <c r="AG54" s="63"/>
      <c r="AH54" s="63"/>
      <c r="AI54" s="63"/>
      <c r="AJ54" s="63"/>
      <c r="AK54" s="43"/>
    </row>
    <row r="55" spans="1:37" ht="24" hidden="1" customHeight="1">
      <c r="A55" s="65"/>
      <c r="B55" s="66"/>
      <c r="C55" s="262" t="s">
        <v>186</v>
      </c>
      <c r="D55" s="63">
        <f>IF('DDR3 Config'!$G$1=1,'DDR3 Spec'!D17,IF('DDR3 Config'!$G$1=2,'DDR3 Spec'!O17,IF('DDR3 Config'!$G$1=3,'DDR3 Spec'!Z17,'DDR3 Spec'!AL17)))</f>
        <v>50</v>
      </c>
      <c r="E55" s="63">
        <f>IF('DDR3 Config'!$G$1=1,'DDR3 Spec'!E17,IF('DDR3 Config'!$G$1=2,'DDR3 Spec'!P17,IF('DDR3 Config'!$G$1=3,'DDR3 Spec'!AA17,'DDR3 Spec'!AM17)))</f>
        <v>50</v>
      </c>
      <c r="F55" s="63">
        <f>IF('DDR3 Config'!$G$1=1,'DDR3 Spec'!F17,IF('DDR3 Config'!$G$1=2,'DDR3 Spec'!Q17,IF('DDR3 Config'!$G$1=3,'DDR3 Spec'!AB17,'DDR3 Spec'!AN17)))</f>
        <v>45</v>
      </c>
      <c r="G55" s="63">
        <f>IF('DDR3 Config'!$G$1=1,'DDR3 Spec'!G17,IF('DDR3 Config'!$G$1=2,'DDR3 Spec'!R17,IF('DDR3 Config'!$G$1=3,'DDR3 Spec'!AC17,'DDR3 Spec'!AO17)))</f>
        <v>45</v>
      </c>
      <c r="H55" s="63">
        <f>IF('DDR3 Config'!$G$1=1,'DDR3 Spec'!H17,IF('DDR3 Config'!$G$1=2,'DDR3 Spec'!S17,IF('DDR3 Config'!$G$1=3,'DDR3 Spec'!AD17,'DDR3 Spec'!AP17)))</f>
        <v>40</v>
      </c>
      <c r="I55" s="63">
        <f>IF('DDR3 Config'!$G$1=1,'DDR3 Spec'!I17,IF('DDR3 Config'!$G$1=2,'DDR3 Spec'!T17,IF('DDR3 Config'!$G$1=3,'DDR3 Spec'!AE17,'DDR3 Spec'!AQ17)))</f>
        <v>40</v>
      </c>
      <c r="J55" s="63">
        <f>IF('DDR3 Config'!$G$1=1,'DDR3 Spec'!J17,IF('DDR3 Config'!$G$1=2,'DDR3 Spec'!U17,IF('DDR3 Config'!$G$1=3,'DDR3 Spec'!AF17,'DDR3 Spec'!AR17)))</f>
        <v>35</v>
      </c>
      <c r="K55" s="63">
        <f>IF('DDR3 Config'!$G$1=1,'DDR3 Spec'!K17,IF('DDR3 Config'!$G$1=2,'DDR3 Spec'!V17,IF('DDR3 Config'!$G$1=3,'DDR3 Spec'!AG17,'DDR3 Spec'!AS17)))</f>
        <v>30</v>
      </c>
      <c r="L55" s="63">
        <f>IF('DDR3 Config'!$G$1=1,'DDR3 Spec'!L17,IF('DDR3 Config'!$G$1=2,'DDR3 Spec'!W17,IF('DDR3 Config'!$G$1=3,'DDR3 Spec'!AH17,'DDR3 Spec'!AT17)))</f>
        <v>30</v>
      </c>
      <c r="M55" s="63">
        <f>IF('DDR3 Config'!$G$1=1,'DDR3 Spec'!M17,IF('DDR3 Config'!$G$1=2,'DDR3 Spec'!X17,IF('DDR3 Config'!$G$1=3,'DDR3 Spec'!AI17,'DDR3 Spec'!AU17)))</f>
        <v>25</v>
      </c>
      <c r="N55" s="63"/>
      <c r="O55" s="63"/>
      <c r="P55" s="63"/>
      <c r="Q55" s="63"/>
      <c r="R55" s="63"/>
      <c r="S55" s="63"/>
      <c r="T55" s="63"/>
      <c r="U55" s="63"/>
      <c r="V55" s="63"/>
      <c r="W55" s="63">
        <f>HLOOKUP($W$43,$D$43:$M$77,13)</f>
        <v>50</v>
      </c>
      <c r="X55" s="63"/>
      <c r="Y55" s="63"/>
      <c r="Z55" s="63"/>
      <c r="AA55" s="63"/>
      <c r="AB55" s="63"/>
      <c r="AC55" s="63"/>
      <c r="AD55" s="63"/>
      <c r="AE55" s="63"/>
      <c r="AF55" s="63"/>
      <c r="AG55" s="63"/>
      <c r="AH55" s="63"/>
      <c r="AI55" s="63"/>
      <c r="AJ55" s="63"/>
      <c r="AK55" s="43"/>
    </row>
    <row r="56" spans="1:37" ht="24" hidden="1" customHeight="1">
      <c r="A56" s="65"/>
      <c r="B56" s="66"/>
      <c r="C56" s="262"/>
      <c r="D56" s="63">
        <f>IF('DDR3 Config'!$G$1=1,'DDR3 Spec'!D18,IF('DDR3 Config'!$G$1=2,'DDR3 Spec'!O18,IF('DDR3 Config'!$G$1=3,'DDR3 Spec'!Z18,'DDR3 Spec'!AL18)))</f>
        <v>55</v>
      </c>
      <c r="E56" s="63">
        <f>IF('DDR3 Config'!$G$1=1,'DDR3 Spec'!E18,IF('DDR3 Config'!$G$1=2,'DDR3 Spec'!P18,IF('DDR3 Config'!$G$1=3,'DDR3 Spec'!AA18,'DDR3 Spec'!AM18)))</f>
        <v>55</v>
      </c>
      <c r="F56" s="63">
        <f>IF('DDR3 Config'!$G$1=1,'DDR3 Spec'!F18,IF('DDR3 Config'!$G$1=2,'DDR3 Spec'!Q18,IF('DDR3 Config'!$G$1=3,'DDR3 Spec'!AB18,'DDR3 Spec'!AN18)))</f>
        <v>50</v>
      </c>
      <c r="G56" s="63">
        <f>IF('DDR3 Config'!$G$1=1,'DDR3 Spec'!G18,IF('DDR3 Config'!$G$1=2,'DDR3 Spec'!R18,IF('DDR3 Config'!$G$1=3,'DDR3 Spec'!AC18,'DDR3 Spec'!AO18)))</f>
        <v>50</v>
      </c>
      <c r="H56" s="63">
        <f>IF('DDR3 Config'!$G$1=1,'DDR3 Spec'!H18,IF('DDR3 Config'!$G$1=2,'DDR3 Spec'!S18,IF('DDR3 Config'!$G$1=3,'DDR3 Spec'!AD18,'DDR3 Spec'!AP18)))</f>
        <v>45</v>
      </c>
      <c r="I56" s="63">
        <f>IF('DDR3 Config'!$G$1=1,'DDR3 Spec'!I18,IF('DDR3 Config'!$G$1=2,'DDR3 Spec'!T18,IF('DDR3 Config'!$G$1=3,'DDR3 Spec'!AE18,'DDR3 Spec'!AQ18)))</f>
        <v>45</v>
      </c>
      <c r="J56" s="63">
        <f>IF('DDR3 Config'!$G$1=1,'DDR3 Spec'!J18,IF('DDR3 Config'!$G$1=2,'DDR3 Spec'!U18,IF('DDR3 Config'!$G$1=3,'DDR3 Spec'!AF18,'DDR3 Spec'!AR18)))</f>
        <v>40</v>
      </c>
      <c r="K56" s="63">
        <f>IF('DDR3 Config'!$G$1=1,'DDR3 Spec'!K18,IF('DDR3 Config'!$G$1=2,'DDR3 Spec'!V18,IF('DDR3 Config'!$G$1=3,'DDR3 Spec'!AG18,'DDR3 Spec'!AS18)))</f>
        <v>35</v>
      </c>
      <c r="L56" s="63">
        <f>IF('DDR3 Config'!$G$1=1,'DDR3 Spec'!L18,IF('DDR3 Config'!$G$1=2,'DDR3 Spec'!W18,IF('DDR3 Config'!$G$1=3,'DDR3 Spec'!AH18,'DDR3 Spec'!AT18)))</f>
        <v>35</v>
      </c>
      <c r="M56" s="63">
        <f>IF('DDR3 Config'!$G$1=1,'DDR3 Spec'!M18,IF('DDR3 Config'!$G$1=2,'DDR3 Spec'!X18,IF('DDR3 Config'!$G$1=3,'DDR3 Spec'!AI18,'DDR3 Spec'!AU18)))</f>
        <v>30</v>
      </c>
      <c r="N56" s="63"/>
      <c r="O56" s="63"/>
      <c r="P56" s="63"/>
      <c r="Q56" s="63"/>
      <c r="R56" s="63"/>
      <c r="S56" s="63"/>
      <c r="T56" s="63"/>
      <c r="U56" s="63"/>
      <c r="V56" s="63"/>
      <c r="W56" s="63">
        <f>HLOOKUP($W$43,$D$43:$M$77,14)</f>
        <v>55</v>
      </c>
      <c r="X56" s="63"/>
      <c r="Y56" s="63"/>
      <c r="Z56" s="63"/>
      <c r="AA56" s="63"/>
      <c r="AB56" s="63"/>
      <c r="AC56" s="63"/>
      <c r="AD56" s="63"/>
      <c r="AE56" s="63"/>
      <c r="AF56" s="63"/>
      <c r="AG56" s="63"/>
      <c r="AH56" s="63"/>
      <c r="AI56" s="63"/>
      <c r="AJ56" s="63"/>
      <c r="AK56" s="43"/>
    </row>
    <row r="57" spans="1:37" ht="24" hidden="1" customHeight="1">
      <c r="A57" s="65"/>
      <c r="B57" s="66"/>
      <c r="C57" s="265" t="s">
        <v>187</v>
      </c>
      <c r="D57" s="63">
        <f>IF('DDR3 Config'!$G$1=1,'DDR3 Spec'!D19,IF('DDR3 Config'!$G$1=2,'DDR3 Spec'!O19,IF('DDR3 Config'!$G$1=3,'DDR3 Spec'!Z19,'DDR3 Spec'!AL19)))</f>
        <v>55</v>
      </c>
      <c r="E57" s="63">
        <f>IF('DDR3 Config'!$G$1=1,'DDR3 Spec'!E19,IF('DDR3 Config'!$G$1=2,'DDR3 Spec'!P19,IF('DDR3 Config'!$G$1=3,'DDR3 Spec'!AA19,'DDR3 Spec'!AM19)))</f>
        <v>55</v>
      </c>
      <c r="F57" s="63">
        <f>IF('DDR3 Config'!$G$1=1,'DDR3 Spec'!F19,IF('DDR3 Config'!$G$1=2,'DDR3 Spec'!Q19,IF('DDR3 Config'!$G$1=3,'DDR3 Spec'!AB19,'DDR3 Spec'!AN19)))</f>
        <v>50</v>
      </c>
      <c r="G57" s="63">
        <f>IF('DDR3 Config'!$G$1=1,'DDR3 Spec'!G19,IF('DDR3 Config'!$G$1=2,'DDR3 Spec'!R19,IF('DDR3 Config'!$G$1=3,'DDR3 Spec'!AC19,'DDR3 Spec'!AO19)))</f>
        <v>50</v>
      </c>
      <c r="H57" s="63">
        <f>IF('DDR3 Config'!$G$1=1,'DDR3 Spec'!H19,IF('DDR3 Config'!$G$1=2,'DDR3 Spec'!S19,IF('DDR3 Config'!$G$1=3,'DDR3 Spec'!AD19,'DDR3 Spec'!AP19)))</f>
        <v>45</v>
      </c>
      <c r="I57" s="63">
        <f>IF('DDR3 Config'!$G$1=1,'DDR3 Spec'!I19,IF('DDR3 Config'!$G$1=2,'DDR3 Spec'!T19,IF('DDR3 Config'!$G$1=3,'DDR3 Spec'!AE19,'DDR3 Spec'!AQ19)))</f>
        <v>45</v>
      </c>
      <c r="J57" s="63">
        <f>IF('DDR3 Config'!$G$1=1,'DDR3 Spec'!J19,IF('DDR3 Config'!$G$1=2,'DDR3 Spec'!U19,IF('DDR3 Config'!$G$1=3,'DDR3 Spec'!AF19,'DDR3 Spec'!AR19)))</f>
        <v>40</v>
      </c>
      <c r="K57" s="63">
        <f>IF('DDR3 Config'!$G$1=1,'DDR3 Spec'!K19,IF('DDR3 Config'!$G$1=2,'DDR3 Spec'!V19,IF('DDR3 Config'!$G$1=3,'DDR3 Spec'!AG19,'DDR3 Spec'!AS19)))</f>
        <v>35</v>
      </c>
      <c r="L57" s="63">
        <f>IF('DDR3 Config'!$G$1=1,'DDR3 Spec'!L19,IF('DDR3 Config'!$G$1=2,'DDR3 Spec'!W19,IF('DDR3 Config'!$G$1=3,'DDR3 Spec'!AH19,'DDR3 Spec'!AT19)))</f>
        <v>35</v>
      </c>
      <c r="M57" s="63">
        <f>IF('DDR3 Config'!$G$1=1,'DDR3 Spec'!M19,IF('DDR3 Config'!$G$1=2,'DDR3 Spec'!X19,IF('DDR3 Config'!$G$1=3,'DDR3 Spec'!AI19,'DDR3 Spec'!AU19)))</f>
        <v>30</v>
      </c>
      <c r="N57" s="63"/>
      <c r="O57" s="63"/>
      <c r="P57" s="63"/>
      <c r="Q57" s="63"/>
      <c r="R57" s="63"/>
      <c r="S57" s="63"/>
      <c r="T57" s="63"/>
      <c r="U57" s="63"/>
      <c r="V57" s="63"/>
      <c r="W57" s="63">
        <f>HLOOKUP($W$43,$D$43:$M$77,15)</f>
        <v>55</v>
      </c>
      <c r="X57" s="63"/>
      <c r="Y57" s="63"/>
      <c r="Z57" s="63"/>
      <c r="AA57" s="63"/>
      <c r="AB57" s="63"/>
      <c r="AC57" s="63"/>
      <c r="AD57" s="63"/>
      <c r="AE57" s="63"/>
      <c r="AF57" s="63"/>
      <c r="AG57" s="63"/>
      <c r="AH57" s="63"/>
      <c r="AI57" s="63"/>
      <c r="AJ57" s="63"/>
      <c r="AK57" s="43"/>
    </row>
    <row r="58" spans="1:37" ht="24" hidden="1" customHeight="1">
      <c r="A58" s="65"/>
      <c r="B58" s="66"/>
      <c r="C58" s="266"/>
      <c r="D58" s="63">
        <f>IF('DDR3 Config'!$G$1=1,'DDR3 Spec'!D20,IF('DDR3 Config'!$G$1=2,'DDR3 Spec'!O20,IF('DDR3 Config'!$G$1=3,'DDR3 Spec'!Z20,'DDR3 Spec'!AL20)))</f>
        <v>55</v>
      </c>
      <c r="E58" s="63">
        <f>IF('DDR3 Config'!$G$1=1,'DDR3 Spec'!E20,IF('DDR3 Config'!$G$1=2,'DDR3 Spec'!P20,IF('DDR3 Config'!$G$1=3,'DDR3 Spec'!AA20,'DDR3 Spec'!AM20)))</f>
        <v>55</v>
      </c>
      <c r="F58" s="63">
        <f>IF('DDR3 Config'!$G$1=1,'DDR3 Spec'!F20,IF('DDR3 Config'!$G$1=2,'DDR3 Spec'!Q20,IF('DDR3 Config'!$G$1=3,'DDR3 Spec'!AB20,'DDR3 Spec'!AN20)))</f>
        <v>50</v>
      </c>
      <c r="G58" s="63">
        <f>IF('DDR3 Config'!$G$1=1,'DDR3 Spec'!G20,IF('DDR3 Config'!$G$1=2,'DDR3 Spec'!R20,IF('DDR3 Config'!$G$1=3,'DDR3 Spec'!AC20,'DDR3 Spec'!AO20)))</f>
        <v>50</v>
      </c>
      <c r="H58" s="63">
        <f>IF('DDR3 Config'!$G$1=1,'DDR3 Spec'!H20,IF('DDR3 Config'!$G$1=2,'DDR3 Spec'!S20,IF('DDR3 Config'!$G$1=3,'DDR3 Spec'!AD20,'DDR3 Spec'!AP20)))</f>
        <v>45</v>
      </c>
      <c r="I58" s="63">
        <f>IF('DDR3 Config'!$G$1=1,'DDR3 Spec'!I20,IF('DDR3 Config'!$G$1=2,'DDR3 Spec'!T20,IF('DDR3 Config'!$G$1=3,'DDR3 Spec'!AE20,'DDR3 Spec'!AQ20)))</f>
        <v>45</v>
      </c>
      <c r="J58" s="63">
        <f>IF('DDR3 Config'!$G$1=1,'DDR3 Spec'!J20,IF('DDR3 Config'!$G$1=2,'DDR3 Spec'!U20,IF('DDR3 Config'!$G$1=3,'DDR3 Spec'!AF20,'DDR3 Spec'!AR20)))</f>
        <v>40</v>
      </c>
      <c r="K58" s="63">
        <f>IF('DDR3 Config'!$G$1=1,'DDR3 Spec'!K20,IF('DDR3 Config'!$G$1=2,'DDR3 Spec'!V20,IF('DDR3 Config'!$G$1=3,'DDR3 Spec'!AG20,'DDR3 Spec'!AS20)))</f>
        <v>35</v>
      </c>
      <c r="L58" s="63">
        <f>IF('DDR3 Config'!$G$1=1,'DDR3 Spec'!L20,IF('DDR3 Config'!$G$1=2,'DDR3 Spec'!W20,IF('DDR3 Config'!$G$1=3,'DDR3 Spec'!AH20,'DDR3 Spec'!AT20)))</f>
        <v>35</v>
      </c>
      <c r="M58" s="63">
        <f>IF('DDR3 Config'!$G$1=1,'DDR3 Spec'!M20,IF('DDR3 Config'!$G$1=2,'DDR3 Spec'!X20,IF('DDR3 Config'!$G$1=3,'DDR3 Spec'!AI20,'DDR3 Spec'!AU20)))</f>
        <v>30</v>
      </c>
      <c r="N58" s="63"/>
      <c r="O58" s="63"/>
      <c r="P58" s="63"/>
      <c r="Q58" s="63"/>
      <c r="R58" s="63"/>
      <c r="S58" s="63"/>
      <c r="T58" s="63"/>
      <c r="U58" s="63"/>
      <c r="V58" s="63"/>
      <c r="W58" s="63">
        <f>HLOOKUP($W$43,$D$43:$M$77,16)</f>
        <v>55</v>
      </c>
      <c r="X58" s="63"/>
      <c r="Y58" s="63"/>
      <c r="Z58" s="63"/>
      <c r="AA58" s="63"/>
      <c r="AB58" s="63"/>
      <c r="AC58" s="63"/>
      <c r="AD58" s="63"/>
      <c r="AE58" s="63"/>
      <c r="AF58" s="63"/>
      <c r="AG58" s="63"/>
      <c r="AH58" s="63"/>
      <c r="AI58" s="63"/>
      <c r="AJ58" s="63"/>
      <c r="AK58" s="43"/>
    </row>
    <row r="59" spans="1:37" ht="24" hidden="1" customHeight="1">
      <c r="A59" s="65"/>
      <c r="B59" s="66"/>
      <c r="C59" s="262" t="s">
        <v>188</v>
      </c>
      <c r="D59" s="63">
        <f>IF('DDR3 Config'!$G$1=1,'DDR3 Spec'!D21,IF('DDR3 Config'!$G$1=2,'DDR3 Spec'!O21,IF('DDR3 Config'!$G$1=3,'DDR3 Spec'!Z21,'DDR3 Spec'!AL21)))</f>
        <v>210</v>
      </c>
      <c r="E59" s="63">
        <f>IF('DDR3 Config'!$G$1=1,'DDR3 Spec'!E21,IF('DDR3 Config'!$G$1=2,'DDR3 Spec'!P21,IF('DDR3 Config'!$G$1=3,'DDR3 Spec'!AA21,'DDR3 Spec'!AM21)))</f>
        <v>210</v>
      </c>
      <c r="F59" s="63">
        <f>IF('DDR3 Config'!$G$1=1,'DDR3 Spec'!F21,IF('DDR3 Config'!$G$1=2,'DDR3 Spec'!Q21,IF('DDR3 Config'!$G$1=3,'DDR3 Spec'!AB21,'DDR3 Spec'!AN21)))</f>
        <v>185</v>
      </c>
      <c r="G59" s="63">
        <f>IF('DDR3 Config'!$G$1=1,'DDR3 Spec'!G21,IF('DDR3 Config'!$G$1=2,'DDR3 Spec'!R21,IF('DDR3 Config'!$G$1=3,'DDR3 Spec'!AC21,'DDR3 Spec'!AO21)))</f>
        <v>185</v>
      </c>
      <c r="H59" s="63">
        <f>IF('DDR3 Config'!$G$1=1,'DDR3 Spec'!H21,IF('DDR3 Config'!$G$1=2,'DDR3 Spec'!S21,IF('DDR3 Config'!$G$1=3,'DDR3 Spec'!AD21,'DDR3 Spec'!AP21)))</f>
        <v>165</v>
      </c>
      <c r="I59" s="63">
        <f>IF('DDR3 Config'!$G$1=1,'DDR3 Spec'!I21,IF('DDR3 Config'!$G$1=2,'DDR3 Spec'!T21,IF('DDR3 Config'!$G$1=3,'DDR3 Spec'!AE21,'DDR3 Spec'!AQ21)))</f>
        <v>165</v>
      </c>
      <c r="J59" s="63">
        <f>IF('DDR3 Config'!$G$1=1,'DDR3 Spec'!J21,IF('DDR3 Config'!$G$1=2,'DDR3 Spec'!U21,IF('DDR3 Config'!$G$1=3,'DDR3 Spec'!AF21,'DDR3 Spec'!AR21)))</f>
        <v>145</v>
      </c>
      <c r="K59" s="63">
        <f>IF('DDR3 Config'!$G$1=1,'DDR3 Spec'!K21,IF('DDR3 Config'!$G$1=2,'DDR3 Spec'!V21,IF('DDR3 Config'!$G$1=3,'DDR3 Spec'!AG21,'DDR3 Spec'!AS21)))</f>
        <v>125</v>
      </c>
      <c r="L59" s="63">
        <f>IF('DDR3 Config'!$G$1=1,'DDR3 Spec'!L21,IF('DDR3 Config'!$G$1=2,'DDR3 Spec'!W21,IF('DDR3 Config'!$G$1=3,'DDR3 Spec'!AH21,'DDR3 Spec'!AT21)))</f>
        <v>125</v>
      </c>
      <c r="M59" s="63">
        <f>IF('DDR3 Config'!$G$1=1,'DDR3 Spec'!M21,IF('DDR3 Config'!$G$1=2,'DDR3 Spec'!X21,IF('DDR3 Config'!$G$1=3,'DDR3 Spec'!AI21,'DDR3 Spec'!AU21)))</f>
        <v>110</v>
      </c>
      <c r="N59" s="63"/>
      <c r="O59" s="63"/>
      <c r="P59" s="63"/>
      <c r="Q59" s="63"/>
      <c r="R59" s="63"/>
      <c r="S59" s="63"/>
      <c r="T59" s="63"/>
      <c r="U59" s="63"/>
      <c r="V59" s="63"/>
      <c r="W59" s="63">
        <f>HLOOKUP($W$43,$D$43:$M$77,17)</f>
        <v>210</v>
      </c>
      <c r="X59" s="63"/>
      <c r="Y59" s="63"/>
      <c r="Z59" s="63"/>
      <c r="AA59" s="63"/>
      <c r="AB59" s="63"/>
      <c r="AC59" s="63"/>
      <c r="AD59" s="63"/>
      <c r="AE59" s="63"/>
      <c r="AF59" s="63"/>
      <c r="AG59" s="63"/>
      <c r="AH59" s="63"/>
      <c r="AI59" s="63"/>
      <c r="AJ59" s="63"/>
      <c r="AK59" s="43"/>
    </row>
    <row r="60" spans="1:37" ht="24" hidden="1" customHeight="1">
      <c r="A60" s="65"/>
      <c r="B60" s="66"/>
      <c r="C60" s="262"/>
      <c r="D60" s="63">
        <f>IF('DDR3 Config'!$G$1=1,'DDR3 Spec'!D22,IF('DDR3 Config'!$G$1=2,'DDR3 Spec'!O22,IF('DDR3 Config'!$G$1=3,'DDR3 Spec'!Z22,'DDR3 Spec'!AL22)))</f>
        <v>220</v>
      </c>
      <c r="E60" s="63">
        <f>IF('DDR3 Config'!$G$1=1,'DDR3 Spec'!E22,IF('DDR3 Config'!$G$1=2,'DDR3 Spec'!P22,IF('DDR3 Config'!$G$1=3,'DDR3 Spec'!AA22,'DDR3 Spec'!AM22)))</f>
        <v>220</v>
      </c>
      <c r="F60" s="63">
        <f>IF('DDR3 Config'!$G$1=1,'DDR3 Spec'!F22,IF('DDR3 Config'!$G$1=2,'DDR3 Spec'!Q22,IF('DDR3 Config'!$G$1=3,'DDR3 Spec'!AB22,'DDR3 Spec'!AN22)))</f>
        <v>200</v>
      </c>
      <c r="G60" s="63">
        <f>IF('DDR3 Config'!$G$1=1,'DDR3 Spec'!G22,IF('DDR3 Config'!$G$1=2,'DDR3 Spec'!R22,IF('DDR3 Config'!$G$1=3,'DDR3 Spec'!AC22,'DDR3 Spec'!AO22)))</f>
        <v>200</v>
      </c>
      <c r="H60" s="63">
        <f>IF('DDR3 Config'!$G$1=1,'DDR3 Spec'!H22,IF('DDR3 Config'!$G$1=2,'DDR3 Spec'!S22,IF('DDR3 Config'!$G$1=3,'DDR3 Spec'!AD22,'DDR3 Spec'!AP22)))</f>
        <v>180</v>
      </c>
      <c r="I60" s="63">
        <f>IF('DDR3 Config'!$G$1=1,'DDR3 Spec'!I22,IF('DDR3 Config'!$G$1=2,'DDR3 Spec'!T22,IF('DDR3 Config'!$G$1=3,'DDR3 Spec'!AE22,'DDR3 Spec'!AQ22)))</f>
        <v>180</v>
      </c>
      <c r="J60" s="63">
        <f>IF('DDR3 Config'!$G$1=1,'DDR3 Spec'!J22,IF('DDR3 Config'!$G$1=2,'DDR3 Spec'!U22,IF('DDR3 Config'!$G$1=3,'DDR3 Spec'!AF22,'DDR3 Spec'!AR22)))</f>
        <v>160</v>
      </c>
      <c r="K60" s="63">
        <f>IF('DDR3 Config'!$G$1=1,'DDR3 Spec'!K22,IF('DDR3 Config'!$G$1=2,'DDR3 Spec'!V22,IF('DDR3 Config'!$G$1=3,'DDR3 Spec'!AG22,'DDR3 Spec'!AS22)))</f>
        <v>140</v>
      </c>
      <c r="L60" s="63">
        <f>IF('DDR3 Config'!$G$1=1,'DDR3 Spec'!L22,IF('DDR3 Config'!$G$1=2,'DDR3 Spec'!W22,IF('DDR3 Config'!$G$1=3,'DDR3 Spec'!AH22,'DDR3 Spec'!AT22)))</f>
        <v>140</v>
      </c>
      <c r="M60" s="63">
        <f>IF('DDR3 Config'!$G$1=1,'DDR3 Spec'!M22,IF('DDR3 Config'!$G$1=2,'DDR3 Spec'!X22,IF('DDR3 Config'!$G$1=3,'DDR3 Spec'!AI22,'DDR3 Spec'!AU22)))</f>
        <v>120</v>
      </c>
      <c r="N60" s="63"/>
      <c r="O60" s="63"/>
      <c r="P60" s="63"/>
      <c r="Q60" s="63"/>
      <c r="R60" s="63"/>
      <c r="S60" s="63"/>
      <c r="T60" s="63"/>
      <c r="U60" s="63"/>
      <c r="V60" s="63"/>
      <c r="W60" s="63">
        <f>HLOOKUP($W$43,$D$43:$M$77,18)</f>
        <v>220</v>
      </c>
      <c r="X60" s="63"/>
      <c r="Y60" s="63"/>
      <c r="Z60" s="63"/>
      <c r="AA60" s="63"/>
      <c r="AB60" s="63"/>
      <c r="AC60" s="63"/>
      <c r="AD60" s="63"/>
      <c r="AE60" s="63"/>
      <c r="AF60" s="63"/>
      <c r="AG60" s="63"/>
      <c r="AH60" s="63"/>
      <c r="AI60" s="63"/>
      <c r="AJ60" s="63"/>
      <c r="AK60" s="43"/>
    </row>
    <row r="61" spans="1:37" ht="24" hidden="1" customHeight="1">
      <c r="A61" s="65"/>
      <c r="B61" s="66"/>
      <c r="C61" s="262"/>
      <c r="D61" s="63">
        <f>IF('DDR3 Config'!$G$1=1,'DDR3 Spec'!D23,IF('DDR3 Config'!$G$1=2,'DDR3 Spec'!O23,IF('DDR3 Config'!$G$1=3,'DDR3 Spec'!Z23,'DDR3 Spec'!AL23)))</f>
        <v>320</v>
      </c>
      <c r="E61" s="63">
        <f>IF('DDR3 Config'!$G$1=1,'DDR3 Spec'!E23,IF('DDR3 Config'!$G$1=2,'DDR3 Spec'!P23,IF('DDR3 Config'!$G$1=3,'DDR3 Spec'!AA23,'DDR3 Spec'!AM23)))</f>
        <v>320</v>
      </c>
      <c r="F61" s="63">
        <f>IF('DDR3 Config'!$G$1=1,'DDR3 Spec'!F23,IF('DDR3 Config'!$G$1=2,'DDR3 Spec'!Q23,IF('DDR3 Config'!$G$1=3,'DDR3 Spec'!AB23,'DDR3 Spec'!AN23)))</f>
        <v>295</v>
      </c>
      <c r="G61" s="63">
        <f>IF('DDR3 Config'!$G$1=1,'DDR3 Spec'!G23,IF('DDR3 Config'!$G$1=2,'DDR3 Spec'!R23,IF('DDR3 Config'!$G$1=3,'DDR3 Spec'!AC23,'DDR3 Spec'!AO23)))</f>
        <v>295</v>
      </c>
      <c r="H61" s="63">
        <f>IF('DDR3 Config'!$G$1=1,'DDR3 Spec'!H23,IF('DDR3 Config'!$G$1=2,'DDR3 Spec'!S23,IF('DDR3 Config'!$G$1=3,'DDR3 Spec'!AD23,'DDR3 Spec'!AP23)))</f>
        <v>270</v>
      </c>
      <c r="I61" s="63">
        <f>IF('DDR3 Config'!$G$1=1,'DDR3 Spec'!I23,IF('DDR3 Config'!$G$1=2,'DDR3 Spec'!T23,IF('DDR3 Config'!$G$1=3,'DDR3 Spec'!AE23,'DDR3 Spec'!AQ23)))</f>
        <v>270</v>
      </c>
      <c r="J61" s="63">
        <f>IF('DDR3 Config'!$G$1=1,'DDR3 Spec'!J23,IF('DDR3 Config'!$G$1=2,'DDR3 Spec'!U23,IF('DDR3 Config'!$G$1=3,'DDR3 Spec'!AF23,'DDR3 Spec'!AR23)))</f>
        <v>245</v>
      </c>
      <c r="K61" s="63">
        <f>IF('DDR3 Config'!$G$1=1,'DDR3 Spec'!K23,IF('DDR3 Config'!$G$1=2,'DDR3 Spec'!V23,IF('DDR3 Config'!$G$1=3,'DDR3 Spec'!AG23,'DDR3 Spec'!AS23)))</f>
        <v>200</v>
      </c>
      <c r="L61" s="63">
        <f>IF('DDR3 Config'!$G$1=1,'DDR3 Spec'!L23,IF('DDR3 Config'!$G$1=2,'DDR3 Spec'!W23,IF('DDR3 Config'!$G$1=3,'DDR3 Spec'!AH23,'DDR3 Spec'!AT23)))</f>
        <v>200</v>
      </c>
      <c r="M61" s="63">
        <f>IF('DDR3 Config'!$G$1=1,'DDR3 Spec'!M23,IF('DDR3 Config'!$G$1=2,'DDR3 Spec'!X23,IF('DDR3 Config'!$G$1=3,'DDR3 Spec'!AI23,'DDR3 Spec'!AU23)))</f>
        <v>175</v>
      </c>
      <c r="N61" s="63"/>
      <c r="O61" s="63"/>
      <c r="P61" s="63"/>
      <c r="Q61" s="63"/>
      <c r="R61" s="63"/>
      <c r="S61" s="63"/>
      <c r="T61" s="63"/>
      <c r="U61" s="63"/>
      <c r="V61" s="63"/>
      <c r="W61" s="63">
        <f>HLOOKUP($W$43,$D$43:$M$77,19)</f>
        <v>320</v>
      </c>
      <c r="X61" s="63"/>
      <c r="Y61" s="63"/>
      <c r="Z61" s="63"/>
      <c r="AA61" s="63"/>
      <c r="AB61" s="63"/>
      <c r="AC61" s="63"/>
      <c r="AD61" s="63"/>
      <c r="AE61" s="63"/>
      <c r="AF61" s="63"/>
      <c r="AG61" s="63"/>
      <c r="AH61" s="63"/>
      <c r="AI61" s="63"/>
      <c r="AJ61" s="63"/>
      <c r="AK61" s="43"/>
    </row>
    <row r="62" spans="1:37" ht="24" hidden="1" customHeight="1">
      <c r="A62" s="65"/>
      <c r="B62" s="66"/>
      <c r="C62" s="262" t="s">
        <v>189</v>
      </c>
      <c r="D62" s="63">
        <f>IF('DDR3 Config'!$G$1=1,'DDR3 Spec'!D24,IF('DDR3 Config'!$G$1=2,'DDR3 Spec'!O24,IF('DDR3 Config'!$G$1=3,'DDR3 Spec'!Z24,'DDR3 Spec'!AL24)))</f>
        <v>215</v>
      </c>
      <c r="E62" s="63">
        <f>IF('DDR3 Config'!$G$1=1,'DDR3 Spec'!E24,IF('DDR3 Config'!$G$1=2,'DDR3 Spec'!P24,IF('DDR3 Config'!$G$1=3,'DDR3 Spec'!AA24,'DDR3 Spec'!AM24)))</f>
        <v>215</v>
      </c>
      <c r="F62" s="63">
        <f>IF('DDR3 Config'!$G$1=1,'DDR3 Spec'!F24,IF('DDR3 Config'!$G$1=2,'DDR3 Spec'!Q24,IF('DDR3 Config'!$G$1=3,'DDR3 Spec'!AB24,'DDR3 Spec'!AN24)))</f>
        <v>190</v>
      </c>
      <c r="G62" s="63">
        <f>IF('DDR3 Config'!$G$1=1,'DDR3 Spec'!G24,IF('DDR3 Config'!$G$1=2,'DDR3 Spec'!R24,IF('DDR3 Config'!$G$1=3,'DDR3 Spec'!AC24,'DDR3 Spec'!AO24)))</f>
        <v>190</v>
      </c>
      <c r="H62" s="63">
        <f>IF('DDR3 Config'!$G$1=1,'DDR3 Spec'!H24,IF('DDR3 Config'!$G$1=2,'DDR3 Spec'!S24,IF('DDR3 Config'!$G$1=3,'DDR3 Spec'!AD24,'DDR3 Spec'!AP24)))</f>
        <v>170</v>
      </c>
      <c r="I62" s="63">
        <f>IF('DDR3 Config'!$G$1=1,'DDR3 Spec'!I24,IF('DDR3 Config'!$G$1=2,'DDR3 Spec'!T24,IF('DDR3 Config'!$G$1=3,'DDR3 Spec'!AE24,'DDR3 Spec'!AQ24)))</f>
        <v>170</v>
      </c>
      <c r="J62" s="63">
        <f>IF('DDR3 Config'!$G$1=1,'DDR3 Spec'!J24,IF('DDR3 Config'!$G$1=2,'DDR3 Spec'!U24,IF('DDR3 Config'!$G$1=3,'DDR3 Spec'!AF24,'DDR3 Spec'!AR24)))</f>
        <v>150</v>
      </c>
      <c r="K62" s="63">
        <f>IF('DDR3 Config'!$G$1=1,'DDR3 Spec'!K24,IF('DDR3 Config'!$G$1=2,'DDR3 Spec'!V24,IF('DDR3 Config'!$G$1=3,'DDR3 Spec'!AG24,'DDR3 Spec'!AS24)))</f>
        <v>150</v>
      </c>
      <c r="L62" s="63">
        <f>IF('DDR3 Config'!$G$1=1,'DDR3 Spec'!L24,IF('DDR3 Config'!$G$1=2,'DDR3 Spec'!W24,IF('DDR3 Config'!$G$1=3,'DDR3 Spec'!AH24,'DDR3 Spec'!AT24)))</f>
        <v>130</v>
      </c>
      <c r="M62" s="63">
        <f>IF('DDR3 Config'!$G$1=1,'DDR3 Spec'!M24,IF('DDR3 Config'!$G$1=2,'DDR3 Spec'!X24,IF('DDR3 Config'!$G$1=3,'DDR3 Spec'!AI24,'DDR3 Spec'!AU24)))</f>
        <v>115</v>
      </c>
      <c r="N62" s="63"/>
      <c r="O62" s="63"/>
      <c r="P62" s="63"/>
      <c r="Q62" s="63"/>
      <c r="R62" s="63"/>
      <c r="S62" s="63"/>
      <c r="T62" s="63"/>
      <c r="U62" s="63"/>
      <c r="V62" s="63"/>
      <c r="W62" s="63">
        <f>HLOOKUP($W$43,$D$43:$M$77,20)</f>
        <v>215</v>
      </c>
      <c r="X62" s="63"/>
      <c r="Y62" s="63"/>
      <c r="Z62" s="63"/>
      <c r="AA62" s="63"/>
      <c r="AB62" s="63"/>
      <c r="AC62" s="63"/>
      <c r="AD62" s="63"/>
      <c r="AE62" s="63"/>
      <c r="AF62" s="63"/>
      <c r="AG62" s="63"/>
      <c r="AH62" s="63"/>
      <c r="AI62" s="63"/>
      <c r="AJ62" s="63"/>
      <c r="AK62" s="43"/>
    </row>
    <row r="63" spans="1:37" ht="24" hidden="1" customHeight="1">
      <c r="A63" s="65"/>
      <c r="B63" s="66"/>
      <c r="C63" s="262"/>
      <c r="D63" s="63">
        <f>IF('DDR3 Config'!$G$1=1,'DDR3 Spec'!D25,IF('DDR3 Config'!$G$1=2,'DDR3 Spec'!O25,IF('DDR3 Config'!$G$1=3,'DDR3 Spec'!Z25,'DDR3 Spec'!AL25)))</f>
        <v>225</v>
      </c>
      <c r="E63" s="63">
        <f>IF('DDR3 Config'!$G$1=1,'DDR3 Spec'!E25,IF('DDR3 Config'!$G$1=2,'DDR3 Spec'!P25,IF('DDR3 Config'!$G$1=3,'DDR3 Spec'!AA25,'DDR3 Spec'!AM25)))</f>
        <v>225</v>
      </c>
      <c r="F63" s="63">
        <f>IF('DDR3 Config'!$G$1=1,'DDR3 Spec'!F25,IF('DDR3 Config'!$G$1=2,'DDR3 Spec'!Q25,IF('DDR3 Config'!$G$1=3,'DDR3 Spec'!AB25,'DDR3 Spec'!AN25)))</f>
        <v>205</v>
      </c>
      <c r="G63" s="63">
        <f>IF('DDR3 Config'!$G$1=1,'DDR3 Spec'!G25,IF('DDR3 Config'!$G$1=2,'DDR3 Spec'!R25,IF('DDR3 Config'!$G$1=3,'DDR3 Spec'!AC25,'DDR3 Spec'!AO25)))</f>
        <v>205</v>
      </c>
      <c r="H63" s="63">
        <f>IF('DDR3 Config'!$G$1=1,'DDR3 Spec'!H25,IF('DDR3 Config'!$G$1=2,'DDR3 Spec'!S25,IF('DDR3 Config'!$G$1=3,'DDR3 Spec'!AD25,'DDR3 Spec'!AP25)))</f>
        <v>185</v>
      </c>
      <c r="I63" s="63">
        <f>IF('DDR3 Config'!$G$1=1,'DDR3 Spec'!I25,IF('DDR3 Config'!$G$1=2,'DDR3 Spec'!T25,IF('DDR3 Config'!$G$1=3,'DDR3 Spec'!AE25,'DDR3 Spec'!AQ25)))</f>
        <v>185</v>
      </c>
      <c r="J63" s="63">
        <f>IF('DDR3 Config'!$G$1=1,'DDR3 Spec'!J25,IF('DDR3 Config'!$G$1=2,'DDR3 Spec'!U25,IF('DDR3 Config'!$G$1=3,'DDR3 Spec'!AF25,'DDR3 Spec'!AR25)))</f>
        <v>165</v>
      </c>
      <c r="K63" s="63">
        <f>IF('DDR3 Config'!$G$1=1,'DDR3 Spec'!K25,IF('DDR3 Config'!$G$1=2,'DDR3 Spec'!V25,IF('DDR3 Config'!$G$1=3,'DDR3 Spec'!AG25,'DDR3 Spec'!AS25)))</f>
        <v>145</v>
      </c>
      <c r="L63" s="63">
        <f>IF('DDR3 Config'!$G$1=1,'DDR3 Spec'!L25,IF('DDR3 Config'!$G$1=2,'DDR3 Spec'!W25,IF('DDR3 Config'!$G$1=3,'DDR3 Spec'!AH25,'DDR3 Spec'!AT25)))</f>
        <v>145</v>
      </c>
      <c r="M63" s="63">
        <f>IF('DDR3 Config'!$G$1=1,'DDR3 Spec'!M25,IF('DDR3 Config'!$G$1=2,'DDR3 Spec'!X25,IF('DDR3 Config'!$G$1=3,'DDR3 Spec'!AI25,'DDR3 Spec'!AU25)))</f>
        <v>130</v>
      </c>
      <c r="N63" s="63"/>
      <c r="O63" s="63"/>
      <c r="P63" s="63"/>
      <c r="Q63" s="63"/>
      <c r="R63" s="63"/>
      <c r="S63" s="63"/>
      <c r="T63" s="63"/>
      <c r="U63" s="63"/>
      <c r="V63" s="63"/>
      <c r="W63" s="63">
        <f>HLOOKUP($W$43,$D$43:$M$77,21)</f>
        <v>225</v>
      </c>
      <c r="X63" s="63"/>
      <c r="Y63" s="63"/>
      <c r="Z63" s="63"/>
      <c r="AA63" s="63"/>
      <c r="AB63" s="63"/>
      <c r="AC63" s="63"/>
      <c r="AD63" s="63"/>
      <c r="AE63" s="63"/>
      <c r="AF63" s="63"/>
      <c r="AG63" s="63"/>
      <c r="AH63" s="63"/>
      <c r="AI63" s="63"/>
      <c r="AJ63" s="63"/>
      <c r="AK63" s="43"/>
    </row>
    <row r="64" spans="1:37" ht="24" hidden="1" customHeight="1">
      <c r="A64" s="65"/>
      <c r="B64" s="66"/>
      <c r="C64" s="262"/>
      <c r="D64" s="63">
        <f>IF('DDR3 Config'!$G$1=1,'DDR3 Spec'!D26,IF('DDR3 Config'!$G$1=2,'DDR3 Spec'!O26,IF('DDR3 Config'!$G$1=3,'DDR3 Spec'!Z26,'DDR3 Spec'!AL26)))</f>
        <v>350</v>
      </c>
      <c r="E64" s="63">
        <f>IF('DDR3 Config'!$G$1=1,'DDR3 Spec'!E26,IF('DDR3 Config'!$G$1=2,'DDR3 Spec'!P26,IF('DDR3 Config'!$G$1=3,'DDR3 Spec'!AA26,'DDR3 Spec'!AM26)))</f>
        <v>350</v>
      </c>
      <c r="F64" s="63">
        <f>IF('DDR3 Config'!$G$1=1,'DDR3 Spec'!F26,IF('DDR3 Config'!$G$1=2,'DDR3 Spec'!Q26,IF('DDR3 Config'!$G$1=3,'DDR3 Spec'!AB26,'DDR3 Spec'!AN26)))</f>
        <v>315</v>
      </c>
      <c r="G64" s="63">
        <f>IF('DDR3 Config'!$G$1=1,'DDR3 Spec'!G26,IF('DDR3 Config'!$G$1=2,'DDR3 Spec'!R26,IF('DDR3 Config'!$G$1=3,'DDR3 Spec'!AC26,'DDR3 Spec'!AO26)))</f>
        <v>315</v>
      </c>
      <c r="H64" s="63">
        <f>IF('DDR3 Config'!$G$1=1,'DDR3 Spec'!H26,IF('DDR3 Config'!$G$1=2,'DDR3 Spec'!S26,IF('DDR3 Config'!$G$1=3,'DDR3 Spec'!AD26,'DDR3 Spec'!AP26)))</f>
        <v>280</v>
      </c>
      <c r="I64" s="63">
        <f>IF('DDR3 Config'!$G$1=1,'DDR3 Spec'!I26,IF('DDR3 Config'!$G$1=2,'DDR3 Spec'!T26,IF('DDR3 Config'!$G$1=3,'DDR3 Spec'!AE26,'DDR3 Spec'!AQ26)))</f>
        <v>280</v>
      </c>
      <c r="J64" s="63">
        <f>IF('DDR3 Config'!$G$1=1,'DDR3 Spec'!J26,IF('DDR3 Config'!$G$1=2,'DDR3 Spec'!U26,IF('DDR3 Config'!$G$1=3,'DDR3 Spec'!AF26,'DDR3 Spec'!AR26)))</f>
        <v>255</v>
      </c>
      <c r="K64" s="63">
        <f>IF('DDR3 Config'!$G$1=1,'DDR3 Spec'!K26,IF('DDR3 Config'!$G$1=2,'DDR3 Spec'!V26,IF('DDR3 Config'!$G$1=3,'DDR3 Spec'!AG26,'DDR3 Spec'!AS26)))</f>
        <v>210</v>
      </c>
      <c r="L64" s="63">
        <f>IF('DDR3 Config'!$G$1=1,'DDR3 Spec'!L26,IF('DDR3 Config'!$G$1=2,'DDR3 Spec'!W26,IF('DDR3 Config'!$G$1=3,'DDR3 Spec'!AH26,'DDR3 Spec'!AT26)))</f>
        <v>210</v>
      </c>
      <c r="M64" s="63">
        <f>IF('DDR3 Config'!$G$1=1,'DDR3 Spec'!M26,IF('DDR3 Config'!$G$1=2,'DDR3 Spec'!X26,IF('DDR3 Config'!$G$1=3,'DDR3 Spec'!AI26,'DDR3 Spec'!AU26)))</f>
        <v>195</v>
      </c>
      <c r="N64" s="63"/>
      <c r="O64" s="63"/>
      <c r="P64" s="63"/>
      <c r="Q64" s="63"/>
      <c r="R64" s="63"/>
      <c r="S64" s="63"/>
      <c r="T64" s="63"/>
      <c r="U64" s="63"/>
      <c r="V64" s="63"/>
      <c r="W64" s="63">
        <f>HLOOKUP($W$43,$D$43:$M$77,22)</f>
        <v>350</v>
      </c>
      <c r="X64" s="63"/>
      <c r="Y64" s="63"/>
      <c r="Z64" s="63"/>
      <c r="AA64" s="63"/>
      <c r="AB64" s="63"/>
      <c r="AC64" s="63"/>
      <c r="AD64" s="63"/>
      <c r="AE64" s="63"/>
      <c r="AF64" s="63"/>
      <c r="AG64" s="63"/>
      <c r="AH64" s="63"/>
      <c r="AI64" s="63"/>
      <c r="AJ64" s="63"/>
      <c r="AK64" s="43"/>
    </row>
    <row r="65" spans="1:37" ht="24" hidden="1" customHeight="1">
      <c r="A65" s="65"/>
      <c r="B65" s="66"/>
      <c r="C65" s="262" t="s">
        <v>190</v>
      </c>
      <c r="D65" s="63">
        <f>IF('DDR3 Config'!$G$1=1,'DDR3 Spec'!D27,IF('DDR3 Config'!$G$1=2,'DDR3 Spec'!O27,IF('DDR3 Config'!$G$1=3,'DDR3 Spec'!Z27,'DDR3 Spec'!AL27)))</f>
        <v>230</v>
      </c>
      <c r="E65" s="63">
        <f>IF('DDR3 Config'!$G$1=1,'DDR3 Spec'!E27,IF('DDR3 Config'!$G$1=2,'DDR3 Spec'!P27,IF('DDR3 Config'!$G$1=3,'DDR3 Spec'!AA27,'DDR3 Spec'!AM27)))</f>
        <v>230</v>
      </c>
      <c r="F65" s="63">
        <f>IF('DDR3 Config'!$G$1=1,'DDR3 Spec'!F27,IF('DDR3 Config'!$G$1=2,'DDR3 Spec'!Q27,IF('DDR3 Config'!$G$1=3,'DDR3 Spec'!AB27,'DDR3 Spec'!AN27)))</f>
        <v>220</v>
      </c>
      <c r="G65" s="63">
        <f>IF('DDR3 Config'!$G$1=1,'DDR3 Spec'!G27,IF('DDR3 Config'!$G$1=2,'DDR3 Spec'!R27,IF('DDR3 Config'!$G$1=3,'DDR3 Spec'!AC27,'DDR3 Spec'!AO27)))</f>
        <v>220</v>
      </c>
      <c r="H65" s="63">
        <f>IF('DDR3 Config'!$G$1=1,'DDR3 Spec'!H27,IF('DDR3 Config'!$G$1=2,'DDR3 Spec'!S27,IF('DDR3 Config'!$G$1=3,'DDR3 Spec'!AD27,'DDR3 Spec'!AP27)))</f>
        <v>215</v>
      </c>
      <c r="I65" s="63">
        <f>IF('DDR3 Config'!$G$1=1,'DDR3 Spec'!I27,IF('DDR3 Config'!$G$1=2,'DDR3 Spec'!T27,IF('DDR3 Config'!$G$1=3,'DDR3 Spec'!AE27,'DDR3 Spec'!AQ27)))</f>
        <v>215</v>
      </c>
      <c r="J65" s="63">
        <f>IF('DDR3 Config'!$G$1=1,'DDR3 Spec'!J27,IF('DDR3 Config'!$G$1=2,'DDR3 Spec'!U27,IF('DDR3 Config'!$G$1=3,'DDR3 Spec'!AF27,'DDR3 Spec'!AR27)))</f>
        <v>200</v>
      </c>
      <c r="K65" s="63">
        <f>IF('DDR3 Config'!$G$1=1,'DDR3 Spec'!K27,IF('DDR3 Config'!$G$1=2,'DDR3 Spec'!V27,IF('DDR3 Config'!$G$1=3,'DDR3 Spec'!AG27,'DDR3 Spec'!AS27)))</f>
        <v>190</v>
      </c>
      <c r="L65" s="63">
        <f>IF('DDR3 Config'!$G$1=1,'DDR3 Spec'!L27,IF('DDR3 Config'!$G$1=2,'DDR3 Spec'!W27,IF('DDR3 Config'!$G$1=3,'DDR3 Spec'!AH27,'DDR3 Spec'!AT27)))</f>
        <v>190</v>
      </c>
      <c r="M65" s="63">
        <f>IF('DDR3 Config'!$G$1=1,'DDR3 Spec'!M27,IF('DDR3 Config'!$G$1=2,'DDR3 Spec'!X27,IF('DDR3 Config'!$G$1=3,'DDR3 Spec'!AI27,'DDR3 Spec'!AU27)))</f>
        <v>180</v>
      </c>
      <c r="N65" s="63"/>
      <c r="O65" s="63"/>
      <c r="P65" s="63"/>
      <c r="Q65" s="63"/>
      <c r="R65" s="63"/>
      <c r="S65" s="63"/>
      <c r="T65" s="63"/>
      <c r="U65" s="63"/>
      <c r="V65" s="63"/>
      <c r="W65" s="63">
        <f>HLOOKUP($W$43,$D$43:$M$77,23)</f>
        <v>230</v>
      </c>
      <c r="X65" s="63"/>
      <c r="Y65" s="63"/>
      <c r="Z65" s="63"/>
      <c r="AA65" s="63"/>
      <c r="AB65" s="63"/>
      <c r="AC65" s="63"/>
      <c r="AD65" s="63"/>
      <c r="AE65" s="63"/>
      <c r="AF65" s="63"/>
      <c r="AG65" s="63"/>
      <c r="AH65" s="63"/>
      <c r="AI65" s="63"/>
      <c r="AJ65" s="63"/>
      <c r="AK65" s="43"/>
    </row>
    <row r="66" spans="1:37" ht="24" hidden="1" customHeight="1">
      <c r="A66" s="65"/>
      <c r="B66" s="66"/>
      <c r="C66" s="262"/>
      <c r="D66" s="63">
        <f>IF('DDR3 Config'!$G$1=1,'DDR3 Spec'!D28,IF('DDR3 Config'!$G$1=2,'DDR3 Spec'!O28,IF('DDR3 Config'!$G$1=3,'DDR3 Spec'!Z28,'DDR3 Spec'!AL28)))</f>
        <v>230</v>
      </c>
      <c r="E66" s="63">
        <f>IF('DDR3 Config'!$G$1=1,'DDR3 Spec'!E28,IF('DDR3 Config'!$G$1=2,'DDR3 Spec'!P28,IF('DDR3 Config'!$G$1=3,'DDR3 Spec'!AA28,'DDR3 Spec'!AM28)))</f>
        <v>230</v>
      </c>
      <c r="F66" s="63">
        <f>IF('DDR3 Config'!$G$1=1,'DDR3 Spec'!F28,IF('DDR3 Config'!$G$1=2,'DDR3 Spec'!Q28,IF('DDR3 Config'!$G$1=3,'DDR3 Spec'!AB28,'DDR3 Spec'!AN28)))</f>
        <v>220</v>
      </c>
      <c r="G66" s="63">
        <f>IF('DDR3 Config'!$G$1=1,'DDR3 Spec'!G28,IF('DDR3 Config'!$G$1=2,'DDR3 Spec'!R28,IF('DDR3 Config'!$G$1=3,'DDR3 Spec'!AC28,'DDR3 Spec'!AO28)))</f>
        <v>220</v>
      </c>
      <c r="H66" s="63">
        <f>IF('DDR3 Config'!$G$1=1,'DDR3 Spec'!H28,IF('DDR3 Config'!$G$1=2,'DDR3 Spec'!S28,IF('DDR3 Config'!$G$1=3,'DDR3 Spec'!AD28,'DDR3 Spec'!AP28)))</f>
        <v>215</v>
      </c>
      <c r="I66" s="63">
        <f>IF('DDR3 Config'!$G$1=1,'DDR3 Spec'!I28,IF('DDR3 Config'!$G$1=2,'DDR3 Spec'!T28,IF('DDR3 Config'!$G$1=3,'DDR3 Spec'!AE28,'DDR3 Spec'!AQ28)))</f>
        <v>215</v>
      </c>
      <c r="J66" s="63">
        <f>IF('DDR3 Config'!$G$1=1,'DDR3 Spec'!J28,IF('DDR3 Config'!$G$1=2,'DDR3 Spec'!U28,IF('DDR3 Config'!$G$1=3,'DDR3 Spec'!AF28,'DDR3 Spec'!AR28)))</f>
        <v>200</v>
      </c>
      <c r="K66" s="63">
        <f>IF('DDR3 Config'!$G$1=1,'DDR3 Spec'!K28,IF('DDR3 Config'!$G$1=2,'DDR3 Spec'!V28,IF('DDR3 Config'!$G$1=3,'DDR3 Spec'!AG28,'DDR3 Spec'!AS28)))</f>
        <v>190</v>
      </c>
      <c r="L66" s="63">
        <f>IF('DDR3 Config'!$G$1=1,'DDR3 Spec'!L28,IF('DDR3 Config'!$G$1=2,'DDR3 Spec'!W28,IF('DDR3 Config'!$G$1=3,'DDR3 Spec'!AH28,'DDR3 Spec'!AT28)))</f>
        <v>190</v>
      </c>
      <c r="M66" s="63">
        <f>IF('DDR3 Config'!$G$1=1,'DDR3 Spec'!M28,IF('DDR3 Config'!$G$1=2,'DDR3 Spec'!X28,IF('DDR3 Config'!$G$1=3,'DDR3 Spec'!AI28,'DDR3 Spec'!AU28)))</f>
        <v>180</v>
      </c>
      <c r="N66" s="63"/>
      <c r="O66" s="63"/>
      <c r="P66" s="63"/>
      <c r="Q66" s="63"/>
      <c r="R66" s="63"/>
      <c r="S66" s="63"/>
      <c r="T66" s="63"/>
      <c r="U66" s="63"/>
      <c r="V66" s="63"/>
      <c r="W66" s="63">
        <f>HLOOKUP($W$43,$D$43:$M$77,24)</f>
        <v>230</v>
      </c>
      <c r="X66" s="63"/>
      <c r="Y66" s="63"/>
      <c r="Z66" s="63"/>
      <c r="AA66" s="63"/>
      <c r="AB66" s="63"/>
      <c r="AC66" s="63"/>
      <c r="AD66" s="63"/>
      <c r="AE66" s="63"/>
      <c r="AF66" s="63"/>
      <c r="AG66" s="63"/>
      <c r="AH66" s="63"/>
      <c r="AI66" s="63"/>
      <c r="AJ66" s="63"/>
      <c r="AK66" s="43"/>
    </row>
    <row r="67" spans="1:37" ht="24" hidden="1" customHeight="1">
      <c r="A67" s="65"/>
      <c r="B67" s="66"/>
      <c r="C67" s="65"/>
      <c r="E67" s="4"/>
      <c r="F67" s="4"/>
      <c r="G67" s="4"/>
      <c r="H67" s="4"/>
      <c r="I67" s="4"/>
      <c r="J67" s="4"/>
      <c r="K67" s="4"/>
      <c r="L67" s="4"/>
      <c r="M67" s="4"/>
      <c r="U67" s="63"/>
      <c r="X67" s="63"/>
      <c r="Y67" s="63"/>
      <c r="Z67" s="63"/>
      <c r="AA67" s="63"/>
      <c r="AB67" s="63"/>
      <c r="AC67" s="63"/>
      <c r="AD67" s="63"/>
      <c r="AE67" s="63"/>
      <c r="AF67" s="63"/>
      <c r="AG67" s="63"/>
      <c r="AH67" s="63"/>
      <c r="AI67" s="63"/>
      <c r="AJ67" s="63"/>
      <c r="AK67" s="43"/>
    </row>
    <row r="68" spans="1:37" ht="24" hidden="1" customHeight="1">
      <c r="A68" s="65"/>
      <c r="B68" s="66"/>
      <c r="C68" s="65"/>
      <c r="D68" s="63"/>
      <c r="E68" s="63"/>
      <c r="F68" s="63"/>
      <c r="G68" s="63"/>
      <c r="H68" s="63"/>
      <c r="I68" s="63"/>
      <c r="J68" s="63"/>
      <c r="K68" s="63"/>
      <c r="L68" s="63"/>
      <c r="M68" s="63"/>
      <c r="N68" s="63"/>
      <c r="O68" s="63"/>
      <c r="P68" s="63"/>
      <c r="Q68" s="63"/>
      <c r="R68" s="63"/>
      <c r="S68" s="63"/>
      <c r="T68" s="63"/>
      <c r="U68" s="63"/>
      <c r="V68" s="63"/>
      <c r="W68" s="63"/>
      <c r="X68" s="63"/>
      <c r="Y68" s="63"/>
      <c r="Z68" s="63"/>
      <c r="AA68" s="63"/>
      <c r="AB68" s="63"/>
      <c r="AC68" s="63"/>
      <c r="AD68" s="63"/>
      <c r="AE68" s="63"/>
      <c r="AF68" s="63"/>
      <c r="AG68" s="63"/>
      <c r="AH68" s="63"/>
      <c r="AI68" s="63"/>
      <c r="AJ68" s="63"/>
      <c r="AK68" s="43"/>
    </row>
    <row r="69" spans="1:37" ht="24" hidden="1" customHeight="1">
      <c r="A69" s="65"/>
      <c r="B69" s="66"/>
      <c r="C69" s="62"/>
      <c r="D69" s="63">
        <f>IF('DDR3 Config'!$G$1=1,'DDR3 Spec'!D30,IF('DDR3 Config'!$G$1=2,'DDR3 Spec'!O30,'DDR3 Spec'!Z30))</f>
        <v>0.93799999999999994</v>
      </c>
      <c r="E69" s="63">
        <f>IF('DDR3 Config'!$G$1=1,'DDR3 Spec'!E30,IF('DDR3 Config'!$G$1=2,'DDR3 Spec'!P30,'DDR3 Spec'!X30))</f>
        <v>0.93799999999999994</v>
      </c>
      <c r="F69" s="63">
        <f>IF('DDR3 Config'!$G$1=1,'DDR3 Spec'!F30,IF('DDR3 Config'!$G$1=2,'DDR3 Spec'!Q30,'DDR3 Spec'!Y30))</f>
        <v>1.07</v>
      </c>
      <c r="G69" s="63">
        <f>IF('DDR3 Config'!$G$1=1,'DDR3 Spec'!G30,IF('DDR3 Config'!$G$1=2,'DDR3 Spec'!R30,'DDR3 Spec'!Z30))</f>
        <v>1.07</v>
      </c>
      <c r="H69" s="63">
        <f>IF('DDR3 Config'!$G$1=1,'DDR3 Spec'!H30,IF('DDR3 Config'!$G$1=2,'DDR3 Spec'!S30,'DDR3 Spec'!AD30))</f>
        <v>1.25</v>
      </c>
      <c r="I69" s="63">
        <f>IF('DDR3 Config'!$G$1=1,'DDR3 Spec'!I30,IF('DDR3 Config'!$G$1=2,'DDR3 Spec'!T30,'DDR3 Spec'!AE30))</f>
        <v>1.25</v>
      </c>
      <c r="J69" s="63">
        <f>IF('DDR3 Config'!$G$1=1,'DDR3 Spec'!J30,IF('DDR3 Config'!$G$1=2,'DDR3 Spec'!U30,'DDR3 Spec'!AF30))</f>
        <v>1.5</v>
      </c>
      <c r="K69" s="63">
        <f>IF('DDR3 Config'!$G$1=1,'DDR3 Spec'!K30,IF('DDR3 Config'!$G$1=2,'DDR3 Spec'!V30,'DDR3 Spec'!AG30))</f>
        <v>1.875</v>
      </c>
      <c r="L69" s="63">
        <f>IF('DDR3 Config'!$G$1=1,'DDR3 Spec'!L30,IF('DDR3 Config'!$G$1=2,'DDR3 Spec'!W30,'DDR3 Spec'!AH30))</f>
        <v>1.875</v>
      </c>
      <c r="M69" s="63">
        <f>IF('DDR3 Config'!$G$1=1,'DDR3 Spec'!M30,IF('DDR3 Config'!$G$1=2,'DDR3 Spec'!X30,'DDR3 Spec'!AI30))</f>
        <v>2.5</v>
      </c>
      <c r="N69" s="63"/>
      <c r="O69" s="63"/>
      <c r="P69" s="63"/>
      <c r="Q69" s="63"/>
      <c r="R69" s="63"/>
      <c r="S69" s="63"/>
      <c r="T69" s="63"/>
      <c r="U69" s="63"/>
      <c r="V69" s="63"/>
      <c r="W69" s="63">
        <f>HLOOKUP($W$43,$D$43:$M$77,27)</f>
        <v>0.93799999999999994</v>
      </c>
      <c r="X69" s="63"/>
      <c r="Y69" s="63"/>
      <c r="Z69" s="63"/>
      <c r="AA69" s="63"/>
      <c r="AB69" s="63"/>
      <c r="AC69" s="63"/>
      <c r="AD69" s="63"/>
      <c r="AE69" s="63"/>
      <c r="AF69" s="63"/>
      <c r="AG69" s="63"/>
      <c r="AH69" s="63"/>
      <c r="AI69" s="63"/>
      <c r="AJ69" s="63"/>
      <c r="AK69" s="43"/>
    </row>
    <row r="70" spans="1:37" ht="24" hidden="1" customHeight="1">
      <c r="A70" s="65"/>
      <c r="B70" s="66"/>
      <c r="C70" s="275" t="s">
        <v>192</v>
      </c>
      <c r="D70" s="63">
        <f>IF('DDR3 Config'!$G$1=1,'DDR3 Spec'!D31,IF('DDR3 Config'!$G$1=2,'DDR3 Spec'!O31,'DDR3 Spec'!Z31))</f>
        <v>6</v>
      </c>
      <c r="E70" s="63">
        <f>IF('DDR3 Config'!$G$1=1,'DDR3 Spec'!E31,IF('DDR3 Config'!$G$1=2,'DDR3 Spec'!P31,'DDR3 Spec'!X31))</f>
        <v>6</v>
      </c>
      <c r="F70" s="63">
        <f>IF('DDR3 Config'!$G$1=1,'DDR3 Spec'!F31,IF('DDR3 Config'!$G$1=2,'DDR3 Spec'!Q31,'DDR3 Spec'!Y31))</f>
        <v>6</v>
      </c>
      <c r="G70" s="63">
        <f>IF('DDR3 Config'!$G$1=1,'DDR3 Spec'!G31,IF('DDR3 Config'!$G$1=2,'DDR3 Spec'!R31,'DDR3 Spec'!Z31))</f>
        <v>6</v>
      </c>
      <c r="H70" s="63">
        <f>IF('DDR3 Config'!$G$1=1,'DDR3 Spec'!H31,IF('DDR3 Config'!$G$1=2,'DDR3 Spec'!S31,'DDR3 Spec'!AD31))</f>
        <v>6</v>
      </c>
      <c r="I70" s="63">
        <f>IF('DDR3 Config'!$G$1=1,'DDR3 Spec'!I31,IF('DDR3 Config'!$G$1=2,'DDR3 Spec'!T31,'DDR3 Spec'!AE31))</f>
        <v>6</v>
      </c>
      <c r="J70" s="63">
        <f>IF('DDR3 Config'!$G$1=1,'DDR3 Spec'!J31,IF('DDR3 Config'!$G$1=2,'DDR3 Spec'!U31,'DDR3 Spec'!AF31))</f>
        <v>6</v>
      </c>
      <c r="K70" s="63">
        <f>IF('DDR3 Config'!$G$1=1,'DDR3 Spec'!K31,IF('DDR3 Config'!$G$1=2,'DDR3 Spec'!V31,'DDR3 Spec'!AG31))</f>
        <v>7.5</v>
      </c>
      <c r="L70" s="63">
        <f>IF('DDR3 Config'!$G$1=1,'DDR3 Spec'!L31,IF('DDR3 Config'!$G$1=2,'DDR3 Spec'!W31,'DDR3 Spec'!AH31))</f>
        <v>7.5</v>
      </c>
      <c r="M70" s="63">
        <f>IF('DDR3 Config'!$G$1=1,'DDR3 Spec'!M31,IF('DDR3 Config'!$G$1=2,'DDR3 Spec'!X31,'DDR3 Spec'!AI31))</f>
        <v>10</v>
      </c>
      <c r="N70" s="63"/>
      <c r="O70" s="63"/>
      <c r="P70" s="63"/>
      <c r="Q70" s="63"/>
      <c r="R70" s="63"/>
      <c r="S70" s="63"/>
      <c r="T70" s="63"/>
      <c r="U70" s="63"/>
      <c r="V70" s="63"/>
      <c r="W70" s="63">
        <f>HLOOKUP($W$43,$D$43:$M$77,28)</f>
        <v>6</v>
      </c>
      <c r="X70" s="63"/>
      <c r="Y70" s="63"/>
      <c r="Z70" s="63"/>
      <c r="AA70" s="63"/>
      <c r="AB70" s="63"/>
      <c r="AC70" s="63"/>
      <c r="AD70" s="63"/>
      <c r="AE70" s="63"/>
      <c r="AF70" s="63"/>
      <c r="AG70" s="63"/>
      <c r="AH70" s="63"/>
      <c r="AI70" s="63"/>
      <c r="AJ70" s="63"/>
      <c r="AK70" s="43"/>
    </row>
    <row r="71" spans="1:37" ht="24" hidden="1" customHeight="1">
      <c r="A71" s="65"/>
      <c r="B71" s="66"/>
      <c r="C71" s="276"/>
      <c r="D71" s="63">
        <f>IF('DDR3 Config'!$G$1=1,'DDR3 Spec'!D32,IF('DDR3 Config'!$G$1=2,'DDR3 Spec'!O32,'DDR3 Spec'!Z32))</f>
        <v>7.5</v>
      </c>
      <c r="E71" s="63">
        <f>IF('DDR3 Config'!$G$1=1,'DDR3 Spec'!E32,IF('DDR3 Config'!$G$1=2,'DDR3 Spec'!P32,'DDR3 Spec'!X32))</f>
        <v>7.5</v>
      </c>
      <c r="F71" s="63">
        <f>IF('DDR3 Config'!$G$1=1,'DDR3 Spec'!F32,IF('DDR3 Config'!$G$1=2,'DDR3 Spec'!Q32,'DDR3 Spec'!Y32))</f>
        <v>7.5</v>
      </c>
      <c r="G71" s="63">
        <f>IF('DDR3 Config'!$G$1=1,'DDR3 Spec'!G32,IF('DDR3 Config'!$G$1=2,'DDR3 Spec'!R32,'DDR3 Spec'!Z32))</f>
        <v>7.5</v>
      </c>
      <c r="H71" s="63">
        <f>IF('DDR3 Config'!$G$1=1,'DDR3 Spec'!H32,IF('DDR3 Config'!$G$1=2,'DDR3 Spec'!S32,'DDR3 Spec'!AD32))</f>
        <v>7.5</v>
      </c>
      <c r="I71" s="63">
        <f>IF('DDR3 Config'!$G$1=1,'DDR3 Spec'!I32,IF('DDR3 Config'!$G$1=2,'DDR3 Spec'!T32,'DDR3 Spec'!AE32))</f>
        <v>7.5</v>
      </c>
      <c r="J71" s="63">
        <f>IF('DDR3 Config'!$G$1=1,'DDR3 Spec'!J32,IF('DDR3 Config'!$G$1=2,'DDR3 Spec'!U32,'DDR3 Spec'!AF32))</f>
        <v>7.5</v>
      </c>
      <c r="K71" s="63">
        <f>IF('DDR3 Config'!$G$1=1,'DDR3 Spec'!K32,IF('DDR3 Config'!$G$1=2,'DDR3 Spec'!V32,'DDR3 Spec'!AG32))</f>
        <v>10</v>
      </c>
      <c r="L71" s="63">
        <f>IF('DDR3 Config'!$G$1=1,'DDR3 Spec'!L32,IF('DDR3 Config'!$G$1=2,'DDR3 Spec'!W32,'DDR3 Spec'!AH32))</f>
        <v>10</v>
      </c>
      <c r="M71" s="63">
        <f>IF('DDR3 Config'!$G$1=1,'DDR3 Spec'!M32,IF('DDR3 Config'!$G$1=2,'DDR3 Spec'!X32,'DDR3 Spec'!AI32))</f>
        <v>10</v>
      </c>
      <c r="N71" s="63"/>
      <c r="O71" s="63"/>
      <c r="P71" s="63"/>
      <c r="Q71" s="63"/>
      <c r="R71" s="63"/>
      <c r="S71" s="63"/>
      <c r="T71" s="63"/>
      <c r="U71" s="63"/>
      <c r="V71" s="63"/>
      <c r="W71" s="63">
        <f>HLOOKUP($W$43,$D$43:$M$77,29)</f>
        <v>7.5</v>
      </c>
      <c r="X71" s="63"/>
      <c r="Y71" s="63"/>
      <c r="Z71" s="63"/>
      <c r="AA71" s="63"/>
      <c r="AB71" s="63"/>
      <c r="AC71" s="63"/>
      <c r="AD71" s="63"/>
      <c r="AE71" s="63"/>
      <c r="AF71" s="63"/>
      <c r="AG71" s="63"/>
      <c r="AH71" s="63"/>
      <c r="AI71" s="63"/>
      <c r="AJ71" s="63"/>
      <c r="AK71" s="43"/>
    </row>
    <row r="72" spans="1:37" ht="24" hidden="1" customHeight="1">
      <c r="A72" s="65"/>
      <c r="B72" s="66"/>
      <c r="C72" s="85" t="s">
        <v>193</v>
      </c>
      <c r="D72" s="63">
        <f>IF('DDR3 Config'!$G$1=1,'DDR3 Spec'!D33,IF('DDR3 Config'!$G$1=2,'DDR3 Spec'!O33,'DDR3 Spec'!Z33))</f>
        <v>45.155000000000001</v>
      </c>
      <c r="E72" s="63">
        <f>IF('DDR3 Config'!$G$1=1,'DDR3 Spec'!E33,IF('DDR3 Config'!$G$1=2,'DDR3 Spec'!P33,'DDR3 Spec'!X33))</f>
        <v>46.09</v>
      </c>
      <c r="F72" s="63">
        <f>IF('DDR3 Config'!$G$1=1,'DDR3 Spec'!F33,IF('DDR3 Config'!$G$1=2,'DDR3 Spec'!Q33,'DDR3 Spec'!Y33))</f>
        <v>46.84</v>
      </c>
      <c r="G72" s="63">
        <f>IF('DDR3 Config'!$G$1=1,'DDR3 Spec'!G33,IF('DDR3 Config'!$G$1=2,'DDR3 Spec'!R33,'DDR3 Spec'!Z33))</f>
        <v>47.91</v>
      </c>
      <c r="H72" s="63">
        <f>IF('DDR3 Config'!$G$1=1,'DDR3 Spec'!H33,IF('DDR3 Config'!$G$1=2,'DDR3 Spec'!S33,'DDR3 Spec'!AD33))</f>
        <v>47.5</v>
      </c>
      <c r="I72" s="63">
        <f>IF('DDR3 Config'!$G$1=1,'DDR3 Spec'!I33,IF('DDR3 Config'!$G$1=2,'DDR3 Spec'!T33,'DDR3 Spec'!AE33))</f>
        <v>48.75</v>
      </c>
      <c r="J72" s="63">
        <f>IF('DDR3 Config'!$G$1=1,'DDR3 Spec'!J33,IF('DDR3 Config'!$G$1=2,'DDR3 Spec'!U33,'DDR3 Spec'!AF33))</f>
        <v>49.5</v>
      </c>
      <c r="K72" s="63">
        <f>IF('DDR3 Config'!$G$1=1,'DDR3 Spec'!K33,IF('DDR3 Config'!$G$1=2,'DDR3 Spec'!V33,'DDR3 Spec'!AG33))</f>
        <v>50.625</v>
      </c>
      <c r="L72" s="63">
        <f>IF('DDR3 Config'!$G$1=1,'DDR3 Spec'!L33,IF('DDR3 Config'!$G$1=2,'DDR3 Spec'!W33,'DDR3 Spec'!AH33))</f>
        <v>52.5</v>
      </c>
      <c r="M72" s="63">
        <f>IF('DDR3 Config'!$G$1=1,'DDR3 Spec'!M33,IF('DDR3 Config'!$G$1=2,'DDR3 Spec'!X33,'DDR3 Spec'!AI33))</f>
        <v>52.5</v>
      </c>
      <c r="N72" s="63"/>
      <c r="O72" s="63"/>
      <c r="P72" s="63"/>
      <c r="Q72" s="63"/>
      <c r="R72" s="63"/>
      <c r="S72" s="63"/>
      <c r="T72" s="63"/>
      <c r="U72" s="63"/>
      <c r="V72" s="63"/>
      <c r="W72" s="63">
        <f>HLOOKUP($W$43,$D$43:$M$77,30)</f>
        <v>45.155000000000001</v>
      </c>
      <c r="X72" s="63"/>
      <c r="Y72" s="63"/>
      <c r="Z72" s="63"/>
      <c r="AA72" s="63"/>
      <c r="AB72" s="63"/>
      <c r="AC72" s="63"/>
      <c r="AD72" s="63"/>
      <c r="AE72" s="63"/>
      <c r="AF72" s="63"/>
      <c r="AG72" s="63"/>
      <c r="AH72" s="63"/>
      <c r="AI72" s="63"/>
      <c r="AJ72" s="63"/>
      <c r="AK72" s="43"/>
    </row>
    <row r="73" spans="1:37" ht="24" hidden="1" customHeight="1">
      <c r="A73" s="65"/>
      <c r="B73" s="66"/>
      <c r="C73" s="85" t="s">
        <v>194</v>
      </c>
      <c r="D73" s="63">
        <f>IF('DDR3 Config'!$G$1=1,'DDR3 Spec'!D34,IF('DDR3 Config'!$G$1=2,'DDR3 Spec'!O34,'DDR3 Spec'!Z34))</f>
        <v>36</v>
      </c>
      <c r="E73" s="63">
        <f>IF('DDR3 Config'!$G$1=1,'DDR3 Spec'!E34,IF('DDR3 Config'!$G$1=2,'DDR3 Spec'!P34,'DDR3 Spec'!X34))</f>
        <v>36</v>
      </c>
      <c r="F73" s="63">
        <f>IF('DDR3 Config'!$G$1=1,'DDR3 Spec'!F34,IF('DDR3 Config'!$G$1=2,'DDR3 Spec'!Q34,'DDR3 Spec'!Y34))</f>
        <v>34</v>
      </c>
      <c r="G73" s="63">
        <f>IF('DDR3 Config'!$G$1=1,'DDR3 Spec'!G34,IF('DDR3 Config'!$G$1=2,'DDR3 Spec'!R34,'DDR3 Spec'!Z34))</f>
        <v>34</v>
      </c>
      <c r="H73" s="63">
        <f>IF('DDR3 Config'!$G$1=1,'DDR3 Spec'!H34,IF('DDR3 Config'!$G$1=2,'DDR3 Spec'!S34,'DDR3 Spec'!AD34))</f>
        <v>35</v>
      </c>
      <c r="I73" s="63">
        <f>IF('DDR3 Config'!$G$1=1,'DDR3 Spec'!I34,IF('DDR3 Config'!$G$1=2,'DDR3 Spec'!T34,'DDR3 Spec'!AE34))</f>
        <v>35</v>
      </c>
      <c r="J73" s="63">
        <f>IF('DDR3 Config'!$G$1=1,'DDR3 Spec'!J34,IF('DDR3 Config'!$G$1=2,'DDR3 Spec'!U34,'DDR3 Spec'!AF34))</f>
        <v>36</v>
      </c>
      <c r="K73" s="63">
        <f>IF('DDR3 Config'!$G$1=1,'DDR3 Spec'!K34,IF('DDR3 Config'!$G$1=2,'DDR3 Spec'!V34,'DDR3 Spec'!AG34))</f>
        <v>37.5</v>
      </c>
      <c r="L73" s="63">
        <f>IF('DDR3 Config'!$G$1=1,'DDR3 Spec'!L34,IF('DDR3 Config'!$G$1=2,'DDR3 Spec'!W34,'DDR3 Spec'!AH34))</f>
        <v>37.5</v>
      </c>
      <c r="M73" s="63">
        <f>IF('DDR3 Config'!$G$1=1,'DDR3 Spec'!M34,IF('DDR3 Config'!$G$1=2,'DDR3 Spec'!X34,'DDR3 Spec'!AI34))</f>
        <v>37.5</v>
      </c>
      <c r="N73" s="63"/>
      <c r="O73" s="63"/>
      <c r="P73" s="63"/>
      <c r="Q73" s="63"/>
      <c r="R73" s="63"/>
      <c r="S73" s="63"/>
      <c r="T73" s="63"/>
      <c r="U73" s="63"/>
      <c r="V73" s="63"/>
      <c r="W73" s="63">
        <f>HLOOKUP($W$43,$D$43:$M$77,31)</f>
        <v>36</v>
      </c>
      <c r="X73" s="63"/>
      <c r="Y73" s="63"/>
      <c r="Z73" s="63"/>
      <c r="AA73" s="63"/>
      <c r="AB73" s="63"/>
      <c r="AC73" s="63"/>
      <c r="AD73" s="63"/>
      <c r="AE73" s="63"/>
      <c r="AF73" s="63"/>
      <c r="AG73" s="63"/>
      <c r="AH73" s="63"/>
      <c r="AI73" s="63"/>
      <c r="AJ73" s="63"/>
      <c r="AK73" s="43"/>
    </row>
    <row r="74" spans="1:37" ht="24" hidden="1" customHeight="1">
      <c r="A74" s="65"/>
      <c r="B74" s="66"/>
      <c r="C74" s="85" t="s">
        <v>196</v>
      </c>
      <c r="D74" s="63">
        <f>IF('DDR3 Config'!$G$1=1,'DDR3 Spec'!D35,IF('DDR3 Config'!$G$1=2,'DDR3 Spec'!O35,'DDR3 Spec'!Z35))</f>
        <v>160</v>
      </c>
      <c r="E74" s="63">
        <f>IF('DDR3 Config'!$G$1=1,'DDR3 Spec'!E35,IF('DDR3 Config'!$G$1=2,'DDR3 Spec'!P35,'DDR3 Spec'!X35))</f>
        <v>160</v>
      </c>
      <c r="F74" s="63">
        <f>IF('DDR3 Config'!$G$1=1,'DDR3 Spec'!F35,IF('DDR3 Config'!$G$1=2,'DDR3 Spec'!Q35,'DDR3 Spec'!Y35))</f>
        <v>160</v>
      </c>
      <c r="G74" s="63">
        <f>IF('DDR3 Config'!$G$1=1,'DDR3 Spec'!G35,IF('DDR3 Config'!$G$1=2,'DDR3 Spec'!R35,'DDR3 Spec'!Z35))</f>
        <v>160</v>
      </c>
      <c r="H74" s="63">
        <f>IF('DDR3 Config'!$G$1=1,'DDR3 Spec'!H35,IF('DDR3 Config'!$G$1=2,'DDR3 Spec'!S35,'DDR3 Spec'!AD35))</f>
        <v>160</v>
      </c>
      <c r="I74" s="63">
        <f>IF('DDR3 Config'!$G$1=1,'DDR3 Spec'!I35,IF('DDR3 Config'!$G$1=2,'DDR3 Spec'!T35,'DDR3 Spec'!AE35))</f>
        <v>160</v>
      </c>
      <c r="J74" s="63">
        <f>IF('DDR3 Config'!$G$1=1,'DDR3 Spec'!J35,IF('DDR3 Config'!$G$1=2,'DDR3 Spec'!U35,'DDR3 Spec'!AF35))</f>
        <v>160</v>
      </c>
      <c r="K74" s="63">
        <f>IF('DDR3 Config'!$G$1=1,'DDR3 Spec'!K35,IF('DDR3 Config'!$G$1=2,'DDR3 Spec'!V35,'DDR3 Spec'!AG35))</f>
        <v>160</v>
      </c>
      <c r="L74" s="63">
        <f>IF('DDR3 Config'!$G$1=1,'DDR3 Spec'!L35,IF('DDR3 Config'!$G$1=2,'DDR3 Spec'!W35,'DDR3 Spec'!AH35))</f>
        <v>160</v>
      </c>
      <c r="M74" s="63">
        <f>IF('DDR3 Config'!$G$1=1,'DDR3 Spec'!M35,IF('DDR3 Config'!$G$1=2,'DDR3 Spec'!X35,'DDR3 Spec'!AI35))</f>
        <v>160</v>
      </c>
      <c r="N74" s="63"/>
      <c r="O74" s="63"/>
      <c r="P74" s="63"/>
      <c r="Q74" s="63"/>
      <c r="R74" s="63"/>
      <c r="S74" s="63"/>
      <c r="T74" s="63"/>
      <c r="U74" s="63"/>
      <c r="V74" s="63"/>
      <c r="W74" s="63">
        <f>HLOOKUP($W$43,$D$43:$M$77,32)</f>
        <v>160</v>
      </c>
      <c r="X74" s="63"/>
      <c r="Y74" s="63"/>
      <c r="Z74" s="63"/>
      <c r="AA74" s="63"/>
      <c r="AB74" s="63"/>
      <c r="AC74" s="63"/>
      <c r="AD74" s="63"/>
      <c r="AE74" s="63"/>
      <c r="AF74" s="63"/>
      <c r="AG74" s="63"/>
      <c r="AH74" s="63"/>
      <c r="AI74" s="63"/>
      <c r="AJ74" s="63"/>
      <c r="AK74" s="43"/>
    </row>
    <row r="75" spans="1:37" ht="24" hidden="1" customHeight="1">
      <c r="A75" s="65"/>
      <c r="B75" s="66"/>
      <c r="C75" s="85" t="s">
        <v>197</v>
      </c>
      <c r="D75" s="63">
        <f>IF('DDR3 Config'!$G$1=1,'DDR3 Spec'!D36,IF('DDR3 Config'!$G$1=2,'DDR3 Spec'!O36,'DDR3 Spec'!Z36))</f>
        <v>7.8</v>
      </c>
      <c r="E75" s="63">
        <f>IF('DDR3 Config'!$G$1=1,'DDR3 Spec'!E36,IF('DDR3 Config'!$G$1=2,'DDR3 Spec'!P36,'DDR3 Spec'!X36))</f>
        <v>7.8</v>
      </c>
      <c r="F75" s="63">
        <f>IF('DDR3 Config'!$G$1=1,'DDR3 Spec'!F36,IF('DDR3 Config'!$G$1=2,'DDR3 Spec'!Q36,'DDR3 Spec'!Y36))</f>
        <v>7.8</v>
      </c>
      <c r="G75" s="63">
        <f>IF('DDR3 Config'!$G$1=1,'DDR3 Spec'!G36,IF('DDR3 Config'!$G$1=2,'DDR3 Spec'!R36,'DDR3 Spec'!Z36))</f>
        <v>7.8</v>
      </c>
      <c r="H75" s="63">
        <f>IF('DDR3 Config'!$G$1=1,'DDR3 Spec'!H36,IF('DDR3 Config'!$G$1=2,'DDR3 Spec'!S36,'DDR3 Spec'!AD36))</f>
        <v>7.8</v>
      </c>
      <c r="I75" s="63">
        <f>IF('DDR3 Config'!$G$1=1,'DDR3 Spec'!I36,IF('DDR3 Config'!$G$1=2,'DDR3 Spec'!T36,'DDR3 Spec'!AE36))</f>
        <v>7.8</v>
      </c>
      <c r="J75" s="63">
        <f>IF('DDR3 Config'!$G$1=1,'DDR3 Spec'!J36,IF('DDR3 Config'!$G$1=2,'DDR3 Spec'!U36,'DDR3 Spec'!AF36))</f>
        <v>7.8</v>
      </c>
      <c r="K75" s="63">
        <f>IF('DDR3 Config'!$G$1=1,'DDR3 Spec'!K36,IF('DDR3 Config'!$G$1=2,'DDR3 Spec'!V36,'DDR3 Spec'!AG36))</f>
        <v>7.8</v>
      </c>
      <c r="L75" s="63">
        <f>IF('DDR3 Config'!$G$1=1,'DDR3 Spec'!L36,IF('DDR3 Config'!$G$1=2,'DDR3 Spec'!W36,'DDR3 Spec'!AH36))</f>
        <v>7.8</v>
      </c>
      <c r="M75" s="63">
        <f>IF('DDR3 Config'!$G$1=1,'DDR3 Spec'!M36,IF('DDR3 Config'!$G$1=2,'DDR3 Spec'!X36,'DDR3 Spec'!AI36))</f>
        <v>7.8</v>
      </c>
      <c r="N75" s="63"/>
      <c r="O75" s="63"/>
      <c r="P75" s="63"/>
      <c r="Q75" s="63"/>
      <c r="R75" s="63"/>
      <c r="S75" s="63"/>
      <c r="T75" s="63"/>
      <c r="U75" s="63"/>
      <c r="V75" s="63"/>
      <c r="W75" s="63">
        <f>HLOOKUP($W$43,$D$43:$M$77,33)</f>
        <v>7.8</v>
      </c>
      <c r="X75" s="63"/>
      <c r="Y75" s="63"/>
      <c r="Z75" s="63"/>
      <c r="AA75" s="63"/>
      <c r="AB75" s="63"/>
      <c r="AC75" s="63"/>
      <c r="AD75" s="63"/>
      <c r="AE75" s="63"/>
      <c r="AF75" s="63"/>
      <c r="AG75" s="63"/>
      <c r="AH75" s="63"/>
      <c r="AI75" s="63"/>
      <c r="AJ75" s="63"/>
      <c r="AK75" s="43"/>
    </row>
    <row r="76" spans="1:37" ht="24" hidden="1" customHeight="1">
      <c r="A76" s="65"/>
      <c r="B76" s="66"/>
      <c r="C76" s="85" t="s">
        <v>198</v>
      </c>
      <c r="D76" s="63">
        <f>IF('DDR3 Config'!$G$1=1,'DDR3 Spec'!D37,IF('DDR3 Config'!$G$1=2,'DDR3 Spec'!O37,'DDR3 Spec'!Z37))</f>
        <v>0.93799999999999994</v>
      </c>
      <c r="E76" s="63">
        <f>IF('DDR3 Config'!$G$1=1,'DDR3 Spec'!E37,IF('DDR3 Config'!$G$1=2,'DDR3 Spec'!P37,'DDR3 Spec'!X37))</f>
        <v>0.93799999999999994</v>
      </c>
      <c r="F76" s="63">
        <f>IF('DDR3 Config'!$G$1=1,'DDR3 Spec'!F37,IF('DDR3 Config'!$G$1=2,'DDR3 Spec'!Q37,'DDR3 Spec'!Y37))</f>
        <v>1.07</v>
      </c>
      <c r="G76" s="63">
        <f>IF('DDR3 Config'!$G$1=1,'DDR3 Spec'!G37,IF('DDR3 Config'!$G$1=2,'DDR3 Spec'!R37,'DDR3 Spec'!Z37))</f>
        <v>1.07</v>
      </c>
      <c r="H76" s="63">
        <f>IF('DDR3 Config'!$G$1=1,'DDR3 Spec'!H37,IF('DDR3 Config'!$G$1=2,'DDR3 Spec'!S37,'DDR3 Spec'!AD37))</f>
        <v>1.25</v>
      </c>
      <c r="I76" s="63">
        <f>IF('DDR3 Config'!$G$1=1,'DDR3 Spec'!I37,IF('DDR3 Config'!$G$1=2,'DDR3 Spec'!T37,'DDR3 Spec'!AE37))</f>
        <v>1.25</v>
      </c>
      <c r="J76" s="63">
        <f>IF('DDR3 Config'!$G$1=1,'DDR3 Spec'!J37,IF('DDR3 Config'!$G$1=2,'DDR3 Spec'!U37,'DDR3 Spec'!AF37))</f>
        <v>1.5</v>
      </c>
      <c r="K76" s="63">
        <f>IF('DDR3 Config'!$G$1=1,'DDR3 Spec'!K37,IF('DDR3 Config'!$G$1=2,'DDR3 Spec'!V37,'DDR3 Spec'!AG37))</f>
        <v>1.875</v>
      </c>
      <c r="L76" s="63">
        <f>IF('DDR3 Config'!$G$1=1,'DDR3 Spec'!L37,IF('DDR3 Config'!$G$1=2,'DDR3 Spec'!W37,'DDR3 Spec'!AH37))</f>
        <v>1.875</v>
      </c>
      <c r="M76" s="63">
        <f>IF('DDR3 Config'!$G$1=1,'DDR3 Spec'!M37,IF('DDR3 Config'!$G$1=2,'DDR3 Spec'!X37,'DDR3 Spec'!AI37))</f>
        <v>2.5</v>
      </c>
      <c r="N76" s="63"/>
      <c r="O76" s="63"/>
      <c r="P76" s="63"/>
      <c r="Q76" s="63"/>
      <c r="R76" s="63"/>
      <c r="S76" s="63"/>
      <c r="T76" s="63"/>
      <c r="U76" s="63"/>
      <c r="V76" s="63"/>
      <c r="W76" s="63">
        <f>HLOOKUP($W$43,$D$43:$M$77,34)</f>
        <v>0.93799999999999994</v>
      </c>
      <c r="X76" s="63"/>
      <c r="Y76" s="63"/>
      <c r="Z76" s="63"/>
      <c r="AA76" s="63"/>
      <c r="AB76" s="63"/>
      <c r="AC76" s="63"/>
      <c r="AD76" s="63"/>
      <c r="AE76" s="63"/>
      <c r="AF76" s="63"/>
      <c r="AG76" s="63"/>
      <c r="AH76" s="63"/>
      <c r="AI76" s="63"/>
      <c r="AJ76" s="63"/>
      <c r="AK76" s="43"/>
    </row>
    <row r="77" spans="1:37" ht="24" hidden="1" customHeight="1">
      <c r="A77" s="65"/>
      <c r="B77" s="66"/>
      <c r="C77" s="85" t="s">
        <v>200</v>
      </c>
      <c r="D77" s="63">
        <f>IF('DDR3 Config'!$G$1=1,'DDR3 Spec'!D38,IF('DDR3 Config'!$G$1=2,'DDR3 Spec'!O38,'DDR3 Spec'!Z38))</f>
        <v>3.3</v>
      </c>
      <c r="E77" s="63">
        <f>IF('DDR3 Config'!$G$1=1,'DDR3 Spec'!E38,IF('DDR3 Config'!$G$1=2,'DDR3 Spec'!P38,'DDR3 Spec'!X38))</f>
        <v>3.3</v>
      </c>
      <c r="F77" s="63">
        <f>IF('DDR3 Config'!$G$1=1,'DDR3 Spec'!F38,IF('DDR3 Config'!$G$1=2,'DDR3 Spec'!Q38,'DDR3 Spec'!Y38))</f>
        <v>3.3</v>
      </c>
      <c r="G77" s="63">
        <f>IF('DDR3 Config'!$G$1=1,'DDR3 Spec'!G38,IF('DDR3 Config'!$G$1=2,'DDR3 Spec'!R38,'DDR3 Spec'!Z38))</f>
        <v>3.3</v>
      </c>
      <c r="H77" s="63">
        <f>IF('DDR3 Config'!$G$1=1,'DDR3 Spec'!H38,IF('DDR3 Config'!$G$1=2,'DDR3 Spec'!S38,'DDR3 Spec'!AD38))</f>
        <v>3.3</v>
      </c>
      <c r="I77" s="63">
        <f>IF('DDR3 Config'!$G$1=1,'DDR3 Spec'!I38,IF('DDR3 Config'!$G$1=2,'DDR3 Spec'!T38,'DDR3 Spec'!AE38))</f>
        <v>3.3</v>
      </c>
      <c r="J77" s="63">
        <f>IF('DDR3 Config'!$G$1=1,'DDR3 Spec'!J38,IF('DDR3 Config'!$G$1=2,'DDR3 Spec'!U38,'DDR3 Spec'!AF38))</f>
        <v>3.3</v>
      </c>
      <c r="K77" s="63">
        <f>IF('DDR3 Config'!$G$1=1,'DDR3 Spec'!K38,IF('DDR3 Config'!$G$1=2,'DDR3 Spec'!V38,'DDR3 Spec'!AG38))</f>
        <v>3.3</v>
      </c>
      <c r="L77" s="63">
        <f>IF('DDR3 Config'!$G$1=1,'DDR3 Spec'!L38,IF('DDR3 Config'!$G$1=2,'DDR3 Spec'!W38,'DDR3 Spec'!AH38))</f>
        <v>3.3</v>
      </c>
      <c r="M77" s="63">
        <f>IF('DDR3 Config'!$G$1=1,'DDR3 Spec'!M38,IF('DDR3 Config'!$G$1=2,'DDR3 Spec'!X38,'DDR3 Spec'!AI38))</f>
        <v>3.3</v>
      </c>
      <c r="N77" s="63"/>
      <c r="O77" s="63"/>
      <c r="P77" s="63"/>
      <c r="Q77" s="63"/>
      <c r="R77" s="63"/>
      <c r="S77" s="63"/>
      <c r="T77" s="63"/>
      <c r="U77" s="63"/>
      <c r="V77" s="63"/>
      <c r="W77" s="63">
        <f>HLOOKUP($W$43,$D$43:$M$77,35)</f>
        <v>3.3</v>
      </c>
      <c r="X77" s="63"/>
      <c r="Y77" s="63"/>
      <c r="Z77" s="63"/>
      <c r="AA77" s="63"/>
      <c r="AB77" s="63"/>
      <c r="AC77" s="63"/>
      <c r="AD77" s="63"/>
      <c r="AE77" s="63"/>
      <c r="AF77" s="63"/>
      <c r="AG77" s="63"/>
      <c r="AH77" s="63"/>
      <c r="AI77" s="63"/>
      <c r="AJ77" s="63"/>
      <c r="AK77" s="43"/>
    </row>
    <row r="78" spans="1:37" ht="24" hidden="1" customHeight="1" thickBot="1">
      <c r="A78" s="65"/>
      <c r="B78" s="66"/>
      <c r="C78" s="65"/>
      <c r="D78" s="65"/>
      <c r="E78" s="63"/>
      <c r="F78" s="63"/>
      <c r="G78" s="63"/>
      <c r="H78" s="63"/>
      <c r="I78" s="63"/>
      <c r="J78" s="63"/>
      <c r="K78" s="63"/>
      <c r="L78" s="63"/>
      <c r="M78" s="63"/>
      <c r="N78" s="63"/>
      <c r="O78" s="63"/>
      <c r="P78" s="63"/>
      <c r="Q78" s="63"/>
      <c r="R78" s="63"/>
      <c r="S78" s="63"/>
      <c r="T78" s="63"/>
      <c r="U78" s="63"/>
      <c r="V78" s="63"/>
      <c r="W78" s="63"/>
      <c r="X78" s="63"/>
      <c r="Y78" s="63"/>
      <c r="Z78" s="63"/>
      <c r="AA78" s="63"/>
      <c r="AB78" s="63"/>
      <c r="AC78" s="63"/>
      <c r="AD78" s="63"/>
      <c r="AE78" s="63"/>
      <c r="AF78" s="63"/>
      <c r="AG78" s="63"/>
      <c r="AH78" s="63"/>
      <c r="AI78" s="63"/>
      <c r="AJ78" s="63"/>
      <c r="AK78" s="43"/>
    </row>
    <row r="79" spans="1:37" ht="24" hidden="1" customHeight="1">
      <c r="A79" s="67" t="s">
        <v>52</v>
      </c>
      <c r="B79" s="68" t="s">
        <v>53</v>
      </c>
      <c r="C79" s="65"/>
      <c r="D79" s="65"/>
      <c r="E79" s="63"/>
      <c r="F79" s="63"/>
      <c r="G79" s="63"/>
      <c r="H79" s="63"/>
      <c r="I79" s="63"/>
      <c r="J79" s="63"/>
      <c r="K79" s="63"/>
      <c r="L79" s="63"/>
      <c r="M79" s="63"/>
      <c r="N79" s="63"/>
      <c r="O79" s="63"/>
      <c r="P79" s="63"/>
      <c r="Q79" s="63"/>
      <c r="R79" s="63"/>
      <c r="S79" s="63"/>
      <c r="T79" s="63"/>
      <c r="U79" s="63"/>
      <c r="V79" s="63"/>
      <c r="W79" s="63"/>
      <c r="X79" s="63"/>
      <c r="Y79" s="63"/>
      <c r="Z79" s="63"/>
      <c r="AA79" s="63"/>
      <c r="AB79" s="63"/>
      <c r="AC79" s="63"/>
      <c r="AD79" s="63"/>
      <c r="AE79" s="63"/>
      <c r="AF79" s="63"/>
      <c r="AG79" s="63"/>
      <c r="AH79" s="63"/>
      <c r="AI79" s="63"/>
      <c r="AJ79" s="63"/>
      <c r="AK79" s="43"/>
    </row>
    <row r="80" spans="1:37" ht="24" hidden="1" customHeight="1">
      <c r="A80" s="58"/>
      <c r="B80" s="59" t="s">
        <v>181</v>
      </c>
      <c r="C80" s="65"/>
      <c r="D80" s="65"/>
      <c r="E80" s="63"/>
      <c r="F80" s="63"/>
      <c r="G80" s="63"/>
      <c r="H80" s="63"/>
      <c r="I80" s="63"/>
      <c r="J80" s="63"/>
      <c r="K80" s="63"/>
      <c r="L80" s="63">
        <f>W44</f>
        <v>1.575</v>
      </c>
      <c r="M80" s="63"/>
      <c r="N80" s="63"/>
      <c r="O80" s="63"/>
      <c r="P80" s="63"/>
      <c r="Q80" s="63"/>
      <c r="R80" s="63"/>
      <c r="S80" s="63"/>
      <c r="T80" s="63"/>
      <c r="U80" s="63"/>
      <c r="V80" s="63"/>
      <c r="W80" s="63"/>
      <c r="X80" s="63"/>
      <c r="Y80" s="63"/>
      <c r="Z80" s="63"/>
      <c r="AA80" s="63"/>
      <c r="AB80" s="63"/>
      <c r="AC80" s="63"/>
      <c r="AD80" s="63"/>
      <c r="AE80" s="63"/>
      <c r="AF80" s="63"/>
      <c r="AG80" s="63"/>
      <c r="AH80" s="63"/>
      <c r="AI80" s="63"/>
      <c r="AJ80" s="63"/>
      <c r="AK80" s="43"/>
    </row>
    <row r="81" spans="1:37" ht="24" hidden="1" customHeight="1">
      <c r="A81" s="58"/>
      <c r="B81" s="59" t="s">
        <v>182</v>
      </c>
      <c r="C81" s="65"/>
      <c r="D81" s="65"/>
      <c r="E81" s="63"/>
      <c r="F81" s="63"/>
      <c r="G81" s="63"/>
      <c r="H81" s="63"/>
      <c r="I81" s="63"/>
      <c r="J81" s="63"/>
      <c r="K81" s="63"/>
      <c r="L81" s="63">
        <f>W45</f>
        <v>1.425</v>
      </c>
      <c r="M81" s="63"/>
      <c r="N81" s="63"/>
      <c r="O81" s="63"/>
      <c r="P81" s="63"/>
      <c r="Q81" s="63"/>
      <c r="R81" s="63"/>
      <c r="S81" s="63"/>
      <c r="T81" s="63"/>
      <c r="U81" s="63"/>
      <c r="V81" s="63"/>
      <c r="W81" s="63"/>
      <c r="X81" s="63"/>
      <c r="Y81" s="63"/>
      <c r="Z81" s="63"/>
      <c r="AA81" s="63"/>
      <c r="AB81" s="63"/>
      <c r="AC81" s="63"/>
      <c r="AD81" s="63"/>
      <c r="AE81" s="63"/>
      <c r="AF81" s="63"/>
      <c r="AG81" s="63"/>
      <c r="AH81" s="63"/>
      <c r="AI81" s="63"/>
      <c r="AJ81" s="63"/>
      <c r="AK81" s="43"/>
    </row>
    <row r="82" spans="1:37" ht="24" hidden="1" customHeight="1">
      <c r="A82" s="58"/>
      <c r="B82" s="59"/>
      <c r="C82" s="65"/>
      <c r="D82" s="65"/>
      <c r="E82" s="63"/>
      <c r="F82" s="63"/>
      <c r="G82" s="63"/>
      <c r="H82" s="63"/>
      <c r="I82" s="63"/>
      <c r="J82" s="63"/>
      <c r="K82" s="63"/>
      <c r="L82" s="63"/>
      <c r="M82" s="63"/>
      <c r="N82" s="63"/>
      <c r="O82" s="63"/>
      <c r="P82" s="63"/>
      <c r="Q82" s="63"/>
      <c r="R82" s="63"/>
      <c r="S82" s="63"/>
      <c r="T82" s="63"/>
      <c r="U82" s="63"/>
      <c r="V82" s="63"/>
      <c r="W82" s="63"/>
      <c r="X82" s="63"/>
      <c r="Y82" s="63"/>
      <c r="Z82" s="63"/>
      <c r="AA82" s="63"/>
      <c r="AB82" s="63"/>
      <c r="AC82" s="63"/>
      <c r="AD82" s="63"/>
      <c r="AE82" s="63"/>
      <c r="AF82" s="63"/>
      <c r="AG82" s="63"/>
      <c r="AH82" s="63"/>
      <c r="AI82" s="63"/>
      <c r="AJ82" s="63"/>
      <c r="AK82" s="43"/>
    </row>
    <row r="83" spans="1:37" ht="24" hidden="1" customHeight="1">
      <c r="A83" s="58" t="s">
        <v>166</v>
      </c>
      <c r="B83" s="59" t="s">
        <v>84</v>
      </c>
      <c r="C83" s="65"/>
      <c r="D83" s="65"/>
      <c r="E83" s="63"/>
      <c r="F83" s="63"/>
      <c r="G83" s="63"/>
      <c r="H83" s="63"/>
      <c r="I83" s="63"/>
      <c r="J83" s="63"/>
      <c r="K83" s="63"/>
      <c r="L83" s="63">
        <f>IF('DDR3 Config'!K1=3,'DDR3 Spec'!W48,'DDR3 Spec'!W47)</f>
        <v>135</v>
      </c>
      <c r="M83" s="63"/>
      <c r="N83" s="63"/>
      <c r="O83" s="63"/>
      <c r="P83" s="63"/>
      <c r="Q83" s="63"/>
      <c r="R83" s="63"/>
      <c r="S83" s="63"/>
      <c r="T83" s="63"/>
      <c r="U83" s="63"/>
      <c r="V83" s="63"/>
      <c r="W83" s="63"/>
      <c r="X83" s="63"/>
      <c r="Y83" s="63"/>
      <c r="Z83" s="63"/>
      <c r="AA83" s="63"/>
      <c r="AB83" s="63"/>
      <c r="AC83" s="63"/>
      <c r="AD83" s="63"/>
      <c r="AE83" s="63"/>
      <c r="AF83" s="63"/>
      <c r="AG83" s="63"/>
      <c r="AH83" s="63"/>
      <c r="AI83" s="63"/>
      <c r="AJ83" s="63"/>
      <c r="AK83" s="43"/>
    </row>
    <row r="84" spans="1:37" ht="24" hidden="1" customHeight="1">
      <c r="A84" s="58" t="s">
        <v>167</v>
      </c>
      <c r="B84" s="59" t="s">
        <v>20</v>
      </c>
      <c r="C84" s="65"/>
      <c r="D84" s="65"/>
      <c r="E84" s="63"/>
      <c r="F84" s="63"/>
      <c r="G84" s="63"/>
      <c r="H84" s="63"/>
      <c r="I84" s="63"/>
      <c r="J84" s="63"/>
      <c r="K84" s="63"/>
      <c r="L84" s="63">
        <f>IF('DDR3 Config'!I1=2,L87,L86)</f>
        <v>50</v>
      </c>
      <c r="M84" s="63"/>
      <c r="N84" s="63"/>
      <c r="O84" s="63"/>
      <c r="P84" s="63"/>
      <c r="Q84" s="63"/>
      <c r="R84" s="63"/>
      <c r="S84" s="63"/>
      <c r="T84" s="63"/>
      <c r="U84" s="63"/>
      <c r="V84" s="63"/>
      <c r="W84" s="63"/>
      <c r="X84" s="63"/>
      <c r="Y84" s="63"/>
      <c r="Z84" s="63"/>
      <c r="AA84" s="63"/>
      <c r="AB84" s="63"/>
      <c r="AC84" s="63"/>
      <c r="AD84" s="63"/>
      <c r="AE84" s="63"/>
      <c r="AF84" s="63"/>
      <c r="AG84" s="63"/>
      <c r="AH84" s="63"/>
      <c r="AI84" s="63"/>
      <c r="AJ84" s="63"/>
      <c r="AK84" s="43"/>
    </row>
    <row r="85" spans="1:37" ht="24" hidden="1" customHeight="1">
      <c r="A85" s="58" t="s">
        <v>168</v>
      </c>
      <c r="B85" s="59" t="s">
        <v>21</v>
      </c>
      <c r="C85" s="65"/>
      <c r="D85" s="65"/>
      <c r="E85" s="63"/>
      <c r="F85" s="63"/>
      <c r="G85" s="63"/>
      <c r="H85" s="63"/>
      <c r="I85" s="63"/>
      <c r="J85" s="63"/>
      <c r="K85" s="63"/>
      <c r="L85" s="63">
        <f>IF('DDR3 Config'!K1=3,'DDR3 Spec'!W54,'DDR3 Spec'!W53)</f>
        <v>52</v>
      </c>
      <c r="M85" s="63"/>
      <c r="N85" s="63"/>
      <c r="O85" s="63"/>
      <c r="P85" s="63"/>
      <c r="Q85" s="63"/>
      <c r="R85" s="63"/>
      <c r="S85" s="63"/>
      <c r="T85" s="63"/>
      <c r="U85" s="63"/>
      <c r="V85" s="63"/>
      <c r="W85" s="63"/>
      <c r="X85" s="63"/>
      <c r="Y85" s="63"/>
      <c r="Z85" s="63"/>
      <c r="AA85" s="63"/>
      <c r="AB85" s="63"/>
      <c r="AC85" s="63"/>
      <c r="AD85" s="63"/>
      <c r="AE85" s="63"/>
      <c r="AF85" s="63"/>
      <c r="AG85" s="63"/>
      <c r="AH85" s="63"/>
      <c r="AI85" s="63"/>
      <c r="AJ85" s="63"/>
      <c r="AK85" s="43"/>
    </row>
    <row r="86" spans="1:37" ht="24" hidden="1" customHeight="1">
      <c r="A86" s="58"/>
      <c r="B86" s="59"/>
      <c r="C86" s="65"/>
      <c r="D86" s="65"/>
      <c r="E86" s="63"/>
      <c r="F86" s="63"/>
      <c r="G86" s="63"/>
      <c r="H86" s="63"/>
      <c r="I86" s="63"/>
      <c r="J86" s="63"/>
      <c r="K86" s="63"/>
      <c r="L86" s="63">
        <f>IF('DDR3 Config'!K1=3,'DDR3 Spec'!W50,'DDR3 Spec'!W49)</f>
        <v>15</v>
      </c>
      <c r="M86" s="63"/>
      <c r="N86" s="63"/>
      <c r="O86" s="63"/>
      <c r="P86" s="63"/>
      <c r="Q86" s="63"/>
      <c r="R86" s="63"/>
      <c r="S86" s="63"/>
      <c r="T86" s="63"/>
      <c r="U86" s="63"/>
      <c r="V86" s="63"/>
      <c r="W86" s="63"/>
      <c r="X86" s="63"/>
      <c r="Y86" s="63"/>
      <c r="Z86" s="63"/>
      <c r="AA86" s="63"/>
      <c r="AB86" s="63"/>
      <c r="AC86" s="63"/>
      <c r="AD86" s="63"/>
      <c r="AE86" s="63"/>
      <c r="AF86" s="63"/>
      <c r="AG86" s="63"/>
      <c r="AH86" s="63"/>
      <c r="AI86" s="63"/>
      <c r="AJ86" s="63"/>
      <c r="AK86" s="43"/>
    </row>
    <row r="87" spans="1:37" ht="24" hidden="1" customHeight="1">
      <c r="A87" s="58"/>
      <c r="B87" s="59"/>
      <c r="C87" s="65"/>
      <c r="D87" s="65"/>
      <c r="E87" s="63"/>
      <c r="F87" s="63"/>
      <c r="G87" s="63"/>
      <c r="H87" s="63"/>
      <c r="I87" s="63"/>
      <c r="J87" s="63"/>
      <c r="K87" s="63"/>
      <c r="L87" s="63">
        <f>IF('DDR3 Config'!K1=3,'DDR3 Spec'!W52,'DDR3 Spec'!W51)</f>
        <v>50</v>
      </c>
      <c r="M87" s="63"/>
      <c r="N87" s="63"/>
      <c r="O87" s="63"/>
      <c r="P87" s="63"/>
      <c r="Q87" s="63"/>
      <c r="R87" s="63"/>
      <c r="S87" s="63"/>
      <c r="T87" s="63"/>
      <c r="U87" s="63"/>
      <c r="V87" s="63"/>
      <c r="W87" s="63"/>
      <c r="X87" s="63"/>
      <c r="Y87" s="63"/>
      <c r="Z87" s="63"/>
      <c r="AA87" s="63"/>
      <c r="AB87" s="63"/>
      <c r="AC87" s="63"/>
      <c r="AD87" s="63"/>
      <c r="AE87" s="63"/>
      <c r="AF87" s="63"/>
      <c r="AG87" s="63"/>
      <c r="AH87" s="63"/>
      <c r="AI87" s="63"/>
      <c r="AJ87" s="63"/>
      <c r="AK87" s="43"/>
    </row>
    <row r="88" spans="1:37" ht="24" hidden="1" customHeight="1">
      <c r="A88" s="58" t="s">
        <v>169</v>
      </c>
      <c r="B88" s="59" t="s">
        <v>22</v>
      </c>
      <c r="C88" s="65"/>
      <c r="D88" s="65"/>
      <c r="E88" s="63"/>
      <c r="F88" s="63"/>
      <c r="G88" s="63"/>
      <c r="H88" s="63"/>
      <c r="I88" s="63"/>
      <c r="J88" s="63"/>
      <c r="K88" s="63"/>
      <c r="L88" s="63">
        <f>IF('DDR3 Config'!K1=3,'DDR3 Spec'!W56,'DDR3 Spec'!W55)</f>
        <v>55</v>
      </c>
      <c r="M88" s="63"/>
      <c r="N88" s="63"/>
      <c r="O88" s="63"/>
      <c r="P88" s="63"/>
      <c r="Q88" s="63"/>
      <c r="R88" s="63"/>
      <c r="S88" s="63"/>
      <c r="T88" s="63"/>
      <c r="U88" s="63"/>
      <c r="V88" s="63"/>
      <c r="W88" s="63"/>
      <c r="X88" s="63"/>
      <c r="Y88" s="63"/>
      <c r="Z88" s="63"/>
      <c r="AA88" s="63"/>
      <c r="AB88" s="63"/>
      <c r="AC88" s="63"/>
      <c r="AD88" s="63"/>
      <c r="AE88" s="63"/>
      <c r="AF88" s="63"/>
      <c r="AG88" s="63"/>
      <c r="AH88" s="63"/>
      <c r="AI88" s="63"/>
      <c r="AJ88" s="63"/>
      <c r="AK88" s="43"/>
    </row>
    <row r="89" spans="1:37" ht="24" hidden="1" customHeight="1">
      <c r="A89" s="58" t="s">
        <v>170</v>
      </c>
      <c r="B89" s="59" t="s">
        <v>23</v>
      </c>
      <c r="C89" s="65"/>
      <c r="D89" s="65"/>
      <c r="E89" s="63"/>
      <c r="F89" s="63"/>
      <c r="G89" s="63"/>
      <c r="H89" s="63"/>
      <c r="I89" s="63"/>
      <c r="J89" s="63"/>
      <c r="K89" s="63"/>
      <c r="L89" s="63">
        <f>IF('DDR3 Config'!K1=3,'DDR3 Spec'!W58,'DDR3 Spec'!W57)</f>
        <v>55</v>
      </c>
      <c r="M89" s="63"/>
      <c r="N89" s="63"/>
      <c r="O89" s="63"/>
      <c r="P89" s="63"/>
      <c r="Q89" s="63"/>
      <c r="R89" s="63"/>
      <c r="S89" s="63"/>
      <c r="T89" s="63"/>
      <c r="U89" s="63"/>
      <c r="V89" s="63"/>
      <c r="W89" s="63"/>
      <c r="X89" s="63"/>
      <c r="Y89" s="63"/>
      <c r="Z89" s="63"/>
      <c r="AA89" s="63"/>
      <c r="AB89" s="63"/>
      <c r="AC89" s="63"/>
      <c r="AD89" s="63"/>
      <c r="AE89" s="63"/>
      <c r="AF89" s="63"/>
      <c r="AG89" s="63"/>
      <c r="AH89" s="63"/>
      <c r="AI89" s="63"/>
      <c r="AJ89" s="63"/>
      <c r="AK89" s="43"/>
    </row>
    <row r="90" spans="1:37" ht="24" hidden="1" customHeight="1">
      <c r="A90" s="58" t="s">
        <v>171</v>
      </c>
      <c r="B90" s="59" t="s">
        <v>24</v>
      </c>
      <c r="C90" s="65"/>
      <c r="D90" s="65"/>
      <c r="E90" s="63"/>
      <c r="F90" s="63"/>
      <c r="G90" s="63"/>
      <c r="H90" s="63"/>
      <c r="I90" s="63"/>
      <c r="J90" s="63"/>
      <c r="K90" s="63"/>
      <c r="L90" s="63">
        <f>IF('DDR3 Config'!K1=3,'DDR3 Spec'!W61,          IF('DDR3 Config'!K1=2,             'DDR3 Spec'!W60,             'DDR3 Spec'!W59          )             )</f>
        <v>320</v>
      </c>
      <c r="M90" s="63"/>
      <c r="N90" s="63"/>
      <c r="O90" s="63"/>
      <c r="P90" s="63"/>
      <c r="Q90" s="63"/>
      <c r="R90" s="63"/>
      <c r="S90" s="63"/>
      <c r="T90" s="63"/>
      <c r="U90" s="63"/>
      <c r="V90" s="63"/>
      <c r="W90" s="63"/>
      <c r="X90" s="63"/>
      <c r="Y90" s="63"/>
      <c r="Z90" s="63"/>
      <c r="AA90" s="63"/>
      <c r="AB90" s="63"/>
      <c r="AC90" s="63"/>
      <c r="AD90" s="63"/>
      <c r="AE90" s="63"/>
      <c r="AF90" s="63"/>
      <c r="AG90" s="63"/>
      <c r="AH90" s="63"/>
      <c r="AI90" s="63"/>
      <c r="AJ90" s="63"/>
      <c r="AK90" s="43"/>
    </row>
    <row r="91" spans="1:37" ht="24" hidden="1" customHeight="1">
      <c r="A91" s="58" t="s">
        <v>172</v>
      </c>
      <c r="B91" s="59" t="s">
        <v>25</v>
      </c>
      <c r="C91" s="65"/>
      <c r="D91" s="65"/>
      <c r="E91" s="63"/>
      <c r="F91" s="63"/>
      <c r="G91" s="63"/>
      <c r="H91" s="63"/>
      <c r="I91" s="63"/>
      <c r="J91" s="63"/>
      <c r="K91" s="63"/>
      <c r="L91" s="63">
        <f>IF('DDR3 Config'!K1=3,'DDR3 Spec'!W64,          IF('DDR3 Config'!K1=2,             'DDR3 Spec'!W63,             'DDR3 Spec'!W62          )             )</f>
        <v>350</v>
      </c>
      <c r="M91" s="63"/>
      <c r="N91" s="63"/>
      <c r="O91" s="63"/>
      <c r="P91" s="63"/>
      <c r="Q91" s="63"/>
      <c r="R91" s="63"/>
      <c r="S91" s="63"/>
      <c r="T91" s="63"/>
      <c r="U91" s="63"/>
      <c r="V91" s="63"/>
      <c r="W91" s="63"/>
      <c r="X91" s="63"/>
      <c r="Y91" s="63"/>
      <c r="Z91" s="63"/>
      <c r="AA91" s="63"/>
      <c r="AB91" s="63"/>
      <c r="AC91" s="63"/>
      <c r="AD91" s="63"/>
      <c r="AE91" s="63"/>
      <c r="AF91" s="63"/>
      <c r="AG91" s="63"/>
      <c r="AH91" s="63"/>
      <c r="AI91" s="63"/>
      <c r="AJ91" s="63"/>
      <c r="AK91" s="43"/>
    </row>
    <row r="92" spans="1:37" ht="24" hidden="1" customHeight="1">
      <c r="A92" s="58" t="s">
        <v>173</v>
      </c>
      <c r="B92" s="59" t="s">
        <v>33</v>
      </c>
      <c r="C92" s="65"/>
      <c r="D92" s="65"/>
      <c r="E92" s="63"/>
      <c r="F92" s="63"/>
      <c r="G92" s="63"/>
      <c r="H92" s="63"/>
      <c r="I92" s="63"/>
      <c r="J92" s="63"/>
      <c r="K92" s="63"/>
      <c r="L92" s="63">
        <f>IF('DDR3 Config'!K1=3,'DDR3 Spec'!W66,'DDR3 Spec'!W65)</f>
        <v>230</v>
      </c>
      <c r="M92" s="63"/>
      <c r="N92" s="63"/>
      <c r="O92" s="63"/>
      <c r="P92" s="63"/>
      <c r="Q92" s="63"/>
      <c r="R92" s="63"/>
      <c r="S92" s="63"/>
      <c r="T92" s="63"/>
      <c r="U92" s="63"/>
      <c r="V92" s="63"/>
      <c r="W92" s="63"/>
      <c r="X92" s="63"/>
      <c r="Y92" s="63"/>
      <c r="Z92" s="63"/>
      <c r="AA92" s="63"/>
      <c r="AB92" s="63"/>
      <c r="AC92" s="63"/>
      <c r="AD92" s="63"/>
      <c r="AE92" s="63"/>
      <c r="AF92" s="63"/>
      <c r="AG92" s="63"/>
      <c r="AH92" s="63"/>
      <c r="AI92" s="63"/>
      <c r="AJ92" s="63"/>
      <c r="AK92" s="43"/>
    </row>
    <row r="93" spans="1:37" ht="24" hidden="1" customHeight="1">
      <c r="A93" s="58"/>
      <c r="B93" s="59"/>
      <c r="C93" s="65"/>
      <c r="D93" s="65"/>
      <c r="E93" s="63"/>
      <c r="F93" s="63"/>
      <c r="G93" s="63"/>
      <c r="H93" s="63"/>
      <c r="I93" s="63"/>
      <c r="J93" s="63"/>
      <c r="K93" s="63"/>
      <c r="L93" s="63"/>
      <c r="M93" s="63"/>
      <c r="N93" s="63"/>
      <c r="O93" s="63"/>
      <c r="P93" s="63"/>
      <c r="Q93" s="63"/>
      <c r="R93" s="63"/>
      <c r="S93" s="63"/>
      <c r="T93" s="63"/>
      <c r="U93" s="63"/>
      <c r="V93" s="63"/>
      <c r="W93" s="63"/>
      <c r="X93" s="63"/>
      <c r="Y93" s="63"/>
      <c r="Z93" s="63"/>
      <c r="AA93" s="63"/>
      <c r="AB93" s="63"/>
      <c r="AC93" s="63"/>
      <c r="AD93" s="63"/>
      <c r="AE93" s="63"/>
      <c r="AF93" s="63"/>
      <c r="AG93" s="63"/>
      <c r="AH93" s="63"/>
      <c r="AI93" s="63"/>
      <c r="AJ93" s="63"/>
      <c r="AK93" s="43"/>
    </row>
    <row r="94" spans="1:37" ht="24" hidden="1" customHeight="1">
      <c r="A94" s="58"/>
      <c r="B94" s="64" t="s">
        <v>174</v>
      </c>
      <c r="C94" s="65"/>
      <c r="D94" s="65"/>
      <c r="E94" s="63"/>
      <c r="F94" s="63"/>
      <c r="G94" s="63"/>
      <c r="H94" s="63"/>
      <c r="I94" s="63"/>
      <c r="J94" s="63"/>
      <c r="K94" s="63"/>
      <c r="L94" s="63">
        <f>W69</f>
        <v>0.93799999999999994</v>
      </c>
      <c r="M94" s="63"/>
      <c r="N94" s="63"/>
      <c r="O94" s="63"/>
      <c r="P94" s="63"/>
      <c r="Q94" s="63"/>
      <c r="R94" s="63"/>
      <c r="S94" s="63"/>
      <c r="T94" s="63"/>
      <c r="U94" s="63"/>
      <c r="V94" s="63"/>
      <c r="W94" s="63"/>
      <c r="X94" s="63"/>
      <c r="Y94" s="63"/>
      <c r="Z94" s="63"/>
      <c r="AA94" s="63"/>
      <c r="AB94" s="63"/>
      <c r="AC94" s="63"/>
      <c r="AD94" s="63"/>
      <c r="AE94" s="63"/>
      <c r="AF94" s="63"/>
      <c r="AG94" s="63"/>
      <c r="AH94" s="63"/>
      <c r="AI94" s="63"/>
      <c r="AJ94" s="63"/>
      <c r="AK94" s="43"/>
    </row>
    <row r="95" spans="1:37" ht="24" hidden="1" customHeight="1">
      <c r="A95" s="69" t="s">
        <v>175</v>
      </c>
      <c r="B95" s="59" t="s">
        <v>1</v>
      </c>
      <c r="C95" s="65"/>
      <c r="D95" s="65"/>
      <c r="E95" s="63"/>
      <c r="F95" s="63"/>
      <c r="G95" s="63"/>
      <c r="H95" s="63"/>
      <c r="I95" s="63"/>
      <c r="J95" s="63"/>
      <c r="K95" s="63"/>
      <c r="L95" s="63">
        <f>IF('DDR3 Config'!K1=3,'DDR3 Spec'!W71,'DDR3 Spec'!W70)</f>
        <v>7.5</v>
      </c>
      <c r="M95" s="63"/>
      <c r="N95" s="63"/>
      <c r="O95" s="63"/>
      <c r="P95" s="63"/>
      <c r="Q95" s="63"/>
      <c r="R95" s="63"/>
      <c r="S95" s="63"/>
      <c r="T95" s="63"/>
      <c r="U95" s="63"/>
      <c r="V95" s="63"/>
      <c r="W95" s="63"/>
      <c r="X95" s="63"/>
      <c r="Y95" s="63"/>
      <c r="Z95" s="63"/>
      <c r="AA95" s="63"/>
      <c r="AB95" s="63"/>
      <c r="AC95" s="63"/>
      <c r="AD95" s="63"/>
      <c r="AE95" s="63"/>
      <c r="AF95" s="63"/>
      <c r="AG95" s="63"/>
      <c r="AH95" s="63"/>
      <c r="AI95" s="63"/>
      <c r="AJ95" s="63"/>
      <c r="AK95" s="43"/>
    </row>
    <row r="96" spans="1:37" ht="24" hidden="1" customHeight="1">
      <c r="A96" s="69" t="s">
        <v>176</v>
      </c>
      <c r="B96" s="59" t="s">
        <v>2</v>
      </c>
      <c r="C96" s="65"/>
      <c r="D96" s="65"/>
      <c r="E96" s="63"/>
      <c r="F96" s="63"/>
      <c r="G96" s="63"/>
      <c r="H96" s="63"/>
      <c r="I96" s="63"/>
      <c r="J96" s="63"/>
      <c r="K96" s="63"/>
      <c r="L96" s="63">
        <f t="shared" ref="L96:L101" si="0">W72</f>
        <v>45.155000000000001</v>
      </c>
      <c r="M96" s="63"/>
      <c r="N96" s="63"/>
      <c r="O96" s="63"/>
      <c r="P96" s="63"/>
      <c r="Q96" s="63"/>
      <c r="R96" s="63"/>
      <c r="S96" s="63"/>
      <c r="T96" s="63"/>
      <c r="U96" s="63"/>
      <c r="V96" s="63"/>
      <c r="W96" s="63"/>
      <c r="X96" s="63"/>
      <c r="Y96" s="63"/>
      <c r="Z96" s="63"/>
      <c r="AA96" s="63"/>
      <c r="AB96" s="63"/>
      <c r="AC96" s="63"/>
      <c r="AD96" s="63"/>
      <c r="AE96" s="63"/>
      <c r="AF96" s="63"/>
      <c r="AG96" s="63"/>
      <c r="AH96" s="63"/>
      <c r="AI96" s="63"/>
      <c r="AJ96" s="63"/>
      <c r="AK96" s="43"/>
    </row>
    <row r="97" spans="1:37" ht="24" hidden="1" customHeight="1">
      <c r="A97" s="69" t="s">
        <v>177</v>
      </c>
      <c r="B97" s="59" t="s">
        <v>32</v>
      </c>
      <c r="C97" s="65"/>
      <c r="D97" s="65"/>
      <c r="E97" s="63"/>
      <c r="F97" s="63"/>
      <c r="G97" s="63"/>
      <c r="H97" s="63"/>
      <c r="I97" s="63"/>
      <c r="J97" s="63"/>
      <c r="K97" s="63"/>
      <c r="L97" s="63">
        <f t="shared" si="0"/>
        <v>36</v>
      </c>
      <c r="M97" s="63"/>
      <c r="N97" s="63"/>
      <c r="O97" s="63"/>
      <c r="P97" s="63"/>
      <c r="Q97" s="63"/>
      <c r="R97" s="63"/>
      <c r="S97" s="63"/>
      <c r="T97" s="63"/>
      <c r="U97" s="63"/>
      <c r="V97" s="63"/>
      <c r="W97" s="63"/>
      <c r="X97" s="63"/>
      <c r="Y97" s="63"/>
      <c r="Z97" s="63"/>
      <c r="AA97" s="63"/>
      <c r="AB97" s="63"/>
      <c r="AC97" s="63"/>
      <c r="AD97" s="63"/>
      <c r="AE97" s="63"/>
      <c r="AF97" s="63"/>
      <c r="AG97" s="63"/>
      <c r="AH97" s="63"/>
      <c r="AI97" s="63"/>
      <c r="AJ97" s="63"/>
      <c r="AK97" s="43"/>
    </row>
    <row r="98" spans="1:37" ht="24" hidden="1" customHeight="1">
      <c r="A98" s="69" t="s">
        <v>183</v>
      </c>
      <c r="B98" s="59" t="s">
        <v>93</v>
      </c>
      <c r="C98" s="65"/>
      <c r="D98" s="65"/>
      <c r="E98" s="63"/>
      <c r="F98" s="63"/>
      <c r="G98" s="63"/>
      <c r="H98" s="63"/>
      <c r="I98" s="63"/>
      <c r="J98" s="63"/>
      <c r="K98" s="63"/>
      <c r="L98" s="63">
        <f t="shared" si="0"/>
        <v>160</v>
      </c>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43"/>
    </row>
    <row r="99" spans="1:37" ht="24" hidden="1" customHeight="1">
      <c r="A99" s="69" t="s">
        <v>178</v>
      </c>
      <c r="B99" s="59" t="s">
        <v>94</v>
      </c>
      <c r="C99" s="65"/>
      <c r="D99" s="65"/>
      <c r="E99" s="63"/>
      <c r="F99" s="63"/>
      <c r="G99" s="63"/>
      <c r="H99" s="63"/>
      <c r="I99" s="63"/>
      <c r="J99" s="63"/>
      <c r="K99" s="63"/>
      <c r="L99" s="63">
        <f t="shared" si="0"/>
        <v>7.8</v>
      </c>
      <c r="M99" s="63"/>
      <c r="N99" s="63"/>
      <c r="O99" s="63"/>
      <c r="P99" s="63"/>
      <c r="Q99" s="63"/>
      <c r="R99" s="63"/>
      <c r="S99" s="63"/>
      <c r="T99" s="63"/>
      <c r="U99" s="63"/>
      <c r="V99" s="63"/>
      <c r="W99" s="63"/>
      <c r="X99" s="63"/>
      <c r="Y99" s="63"/>
      <c r="Z99" s="63"/>
      <c r="AA99" s="63"/>
      <c r="AB99" s="63"/>
      <c r="AC99" s="63"/>
      <c r="AD99" s="63"/>
      <c r="AE99" s="63"/>
      <c r="AF99" s="63"/>
      <c r="AG99" s="63"/>
      <c r="AH99" s="63"/>
      <c r="AI99" s="63"/>
      <c r="AJ99" s="63"/>
      <c r="AK99" s="43"/>
    </row>
    <row r="100" spans="1:37" ht="24" hidden="1" customHeight="1">
      <c r="A100" s="58" t="s">
        <v>95</v>
      </c>
      <c r="B100" s="59" t="s">
        <v>179</v>
      </c>
      <c r="C100" s="65"/>
      <c r="D100" s="65"/>
      <c r="E100" s="63"/>
      <c r="F100" s="63"/>
      <c r="G100" s="63"/>
      <c r="H100" s="63"/>
      <c r="I100" s="63"/>
      <c r="J100" s="63"/>
      <c r="K100" s="63"/>
      <c r="L100" s="63">
        <f t="shared" si="0"/>
        <v>0.93799999999999994</v>
      </c>
      <c r="M100" s="63"/>
      <c r="N100" s="63"/>
      <c r="O100" s="63"/>
      <c r="P100" s="63"/>
      <c r="Q100" s="63"/>
      <c r="R100" s="63"/>
      <c r="S100" s="63"/>
      <c r="T100" s="63"/>
      <c r="U100" s="63"/>
      <c r="V100" s="63"/>
      <c r="W100" s="63"/>
      <c r="X100" s="63"/>
      <c r="Y100" s="63"/>
      <c r="Z100" s="63"/>
      <c r="AA100" s="63"/>
      <c r="AB100" s="63"/>
      <c r="AC100" s="63"/>
      <c r="AD100" s="63"/>
      <c r="AE100" s="63"/>
      <c r="AF100" s="63"/>
      <c r="AG100" s="63"/>
      <c r="AH100" s="63"/>
      <c r="AI100" s="63"/>
      <c r="AJ100" s="63"/>
      <c r="AK100" s="43"/>
    </row>
    <row r="101" spans="1:37" ht="24" hidden="1" customHeight="1" thickBot="1">
      <c r="A101" s="70" t="s">
        <v>96</v>
      </c>
      <c r="B101" s="71" t="s">
        <v>180</v>
      </c>
      <c r="C101" s="65"/>
      <c r="D101" s="65"/>
      <c r="E101" s="63"/>
      <c r="F101" s="63"/>
      <c r="G101" s="63"/>
      <c r="H101" s="63"/>
      <c r="I101" s="63"/>
      <c r="J101" s="63"/>
      <c r="K101" s="63"/>
      <c r="L101" s="63">
        <f t="shared" si="0"/>
        <v>3.3</v>
      </c>
      <c r="M101" s="63"/>
      <c r="N101" s="63"/>
      <c r="O101" s="63"/>
      <c r="P101" s="63"/>
      <c r="Q101" s="63"/>
      <c r="R101" s="63"/>
      <c r="S101" s="63"/>
      <c r="T101" s="63"/>
      <c r="U101" s="63"/>
      <c r="V101" s="63"/>
      <c r="W101" s="63"/>
      <c r="X101" s="63"/>
      <c r="Y101" s="63"/>
      <c r="Z101" s="63"/>
      <c r="AA101" s="63"/>
      <c r="AB101" s="63"/>
      <c r="AC101" s="63"/>
      <c r="AD101" s="63"/>
      <c r="AE101" s="63"/>
      <c r="AF101" s="63"/>
      <c r="AG101" s="63"/>
      <c r="AH101" s="63"/>
      <c r="AI101" s="63"/>
      <c r="AJ101" s="63"/>
      <c r="AK101" s="43"/>
    </row>
    <row r="102" spans="1:37" ht="24" hidden="1" customHeight="1">
      <c r="A102" s="65"/>
      <c r="B102" s="66"/>
      <c r="C102" s="65"/>
      <c r="D102" s="65"/>
      <c r="E102" s="63"/>
      <c r="F102" s="63"/>
      <c r="G102" s="63"/>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c r="AE102" s="63"/>
      <c r="AF102" s="63"/>
      <c r="AG102" s="63"/>
      <c r="AH102" s="63"/>
      <c r="AI102" s="63"/>
      <c r="AJ102" s="63"/>
      <c r="AK102" s="43"/>
    </row>
    <row r="103" spans="1:37" ht="24" hidden="1" customHeight="1">
      <c r="A103" s="65"/>
      <c r="B103" s="66"/>
      <c r="C103" s="65"/>
      <c r="D103" s="65"/>
      <c r="E103" s="63"/>
      <c r="F103" s="63"/>
      <c r="G103" s="63"/>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c r="AE103" s="63"/>
      <c r="AF103" s="63"/>
      <c r="AG103" s="63"/>
      <c r="AH103" s="63"/>
      <c r="AI103" s="63"/>
      <c r="AJ103" s="63"/>
      <c r="AK103" s="43"/>
    </row>
    <row r="104" spans="1:37" ht="24" hidden="1" customHeight="1">
      <c r="A104" s="65"/>
      <c r="B104" s="66"/>
      <c r="C104" s="65"/>
      <c r="D104" s="65"/>
      <c r="E104" s="63"/>
      <c r="F104" s="63"/>
      <c r="G104" s="63"/>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c r="AE104" s="63"/>
      <c r="AF104" s="63"/>
      <c r="AG104" s="63"/>
      <c r="AH104" s="63"/>
      <c r="AI104" s="63"/>
      <c r="AJ104" s="63"/>
      <c r="AK104" s="43"/>
    </row>
    <row r="105" spans="1:37" ht="24" hidden="1" customHeight="1">
      <c r="A105" s="65" t="s">
        <v>155</v>
      </c>
      <c r="B105" s="66"/>
      <c r="C105" s="65"/>
      <c r="D105" s="65"/>
      <c r="E105" s="63"/>
      <c r="F105" s="63"/>
      <c r="G105" s="63"/>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c r="AE105" s="63"/>
      <c r="AF105" s="63"/>
      <c r="AG105" s="63"/>
      <c r="AH105" s="63"/>
      <c r="AI105" s="63"/>
      <c r="AJ105" s="63"/>
      <c r="AK105" s="43"/>
    </row>
    <row r="106" spans="1:37" ht="24" hidden="1" customHeight="1">
      <c r="A106" s="43"/>
      <c r="B106" s="44"/>
      <c r="C106" s="43"/>
      <c r="D106" s="43"/>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3"/>
    </row>
    <row r="107" spans="1:37" ht="24" hidden="1" customHeight="1"/>
    <row r="108" spans="1:37" ht="24" hidden="1" customHeight="1"/>
    <row r="109" spans="1:37" ht="24" hidden="1" customHeight="1"/>
    <row r="110" spans="1:37" ht="24" hidden="1" customHeight="1"/>
    <row r="111" spans="1:37" ht="24" hidden="1" customHeight="1"/>
    <row r="112" spans="1:37" ht="24" hidden="1" customHeight="1"/>
    <row r="113" ht="24" hidden="1" customHeight="1"/>
    <row r="114" ht="24" hidden="1" customHeight="1"/>
    <row r="115" ht="24" hidden="1" customHeight="1"/>
    <row r="116" ht="24" hidden="1" customHeight="1"/>
    <row r="117" ht="24" hidden="1" customHeight="1"/>
    <row r="118" ht="24" hidden="1" customHeight="1"/>
    <row r="119" ht="24" hidden="1" customHeight="1"/>
    <row r="120" ht="24" hidden="1" customHeight="1"/>
    <row r="121" ht="24" hidden="1" customHeight="1"/>
    <row r="122" ht="24" hidden="1" customHeight="1"/>
    <row r="123" ht="24" hidden="1" customHeight="1"/>
    <row r="124" ht="24" hidden="1" customHeight="1"/>
    <row r="125" ht="24" hidden="1" customHeight="1"/>
    <row r="126" ht="24" hidden="1" customHeight="1"/>
    <row r="127" ht="24" hidden="1" customHeight="1"/>
    <row r="128" ht="24" hidden="1" customHeight="1"/>
    <row r="129" ht="24" hidden="1" customHeight="1"/>
    <row r="130" ht="24" hidden="1" customHeight="1"/>
    <row r="131" ht="24" hidden="1" customHeight="1"/>
    <row r="132" ht="24" hidden="1" customHeight="1"/>
    <row r="133" ht="24" hidden="1" customHeight="1"/>
    <row r="134" ht="24" hidden="1" customHeight="1"/>
    <row r="135" ht="24" hidden="1" customHeight="1"/>
    <row r="136" ht="24" hidden="1" customHeight="1"/>
    <row r="137" ht="24" hidden="1" customHeight="1"/>
    <row r="138" ht="24" hidden="1" customHeight="1"/>
    <row r="139" ht="24" hidden="1" customHeight="1"/>
    <row r="140" ht="24" hidden="1" customHeight="1"/>
    <row r="141" ht="24" hidden="1" customHeight="1"/>
    <row r="142" ht="24" hidden="1" customHeight="1"/>
    <row r="143" ht="24" hidden="1" customHeight="1"/>
    <row r="144" ht="24" hidden="1" customHeight="1"/>
    <row r="145" ht="24" hidden="1" customHeight="1"/>
    <row r="146" ht="24" hidden="1" customHeight="1"/>
    <row r="147" ht="24" hidden="1" customHeight="1"/>
    <row r="148" ht="24" hidden="1" customHeight="1"/>
    <row r="149" ht="24" hidden="1" customHeight="1"/>
    <row r="150" ht="24" hidden="1" customHeight="1"/>
    <row r="151" ht="24" hidden="1" customHeight="1"/>
    <row r="152" ht="24" hidden="1" customHeight="1"/>
    <row r="153" ht="24" hidden="1" customHeight="1"/>
    <row r="154" ht="24" hidden="1" customHeight="1"/>
    <row r="155" ht="24" hidden="1" customHeight="1"/>
    <row r="156" ht="24" hidden="1" customHeight="1"/>
    <row r="157" ht="24" hidden="1" customHeight="1"/>
    <row r="158" ht="24" hidden="1" customHeight="1"/>
    <row r="159" ht="24" hidden="1" customHeight="1"/>
    <row r="160" ht="24" hidden="1" customHeight="1"/>
    <row r="161" ht="24" hidden="1" customHeight="1"/>
    <row r="162" ht="24" hidden="1" customHeight="1"/>
    <row r="163" ht="24" hidden="1" customHeight="1"/>
    <row r="164" ht="24" hidden="1" customHeight="1"/>
    <row r="165" ht="24" hidden="1" customHeight="1"/>
    <row r="166" ht="24" hidden="1" customHeight="1"/>
    <row r="167" ht="24" hidden="1" customHeight="1"/>
    <row r="168" ht="24" hidden="1" customHeight="1"/>
    <row r="169" ht="24" hidden="1" customHeight="1"/>
    <row r="170" ht="24" hidden="1" customHeight="1"/>
    <row r="171" ht="24" hidden="1" customHeight="1"/>
    <row r="172" ht="24" hidden="1" customHeight="1"/>
    <row r="173" ht="24" hidden="1" customHeight="1"/>
    <row r="174" ht="24" hidden="1" customHeight="1"/>
    <row r="175" ht="24" hidden="1" customHeight="1"/>
    <row r="176" ht="24" hidden="1" customHeight="1"/>
    <row r="177" ht="24" hidden="1" customHeight="1"/>
    <row r="178" ht="24" hidden="1" customHeight="1"/>
    <row r="179" ht="24" hidden="1" customHeight="1"/>
    <row r="180" ht="24" hidden="1" customHeight="1"/>
    <row r="181" ht="24" hidden="1" customHeight="1"/>
    <row r="182" ht="24" hidden="1" customHeight="1"/>
    <row r="183" ht="24" hidden="1" customHeight="1"/>
    <row r="184" ht="24" hidden="1" customHeight="1"/>
    <row r="185" ht="24" hidden="1" customHeight="1"/>
    <row r="186" ht="24" hidden="1" customHeight="1"/>
    <row r="187" ht="24" hidden="1" customHeight="1"/>
    <row r="188" ht="24" hidden="1" customHeight="1"/>
    <row r="189" ht="24" hidden="1" customHeight="1"/>
    <row r="190" ht="24" hidden="1" customHeight="1"/>
    <row r="191" ht="24" hidden="1" customHeight="1"/>
    <row r="192" ht="24" hidden="1" customHeight="1"/>
    <row r="193" ht="25.5" hidden="1" customHeight="1"/>
    <row r="194" ht="25.5" hidden="1" customHeight="1"/>
    <row r="195" ht="25.5" hidden="1" customHeight="1"/>
    <row r="196" ht="25.5" hidden="1" customHeight="1"/>
    <row r="197" ht="25.5" hidden="1" customHeight="1"/>
    <row r="198" hidden="1"/>
  </sheetData>
  <mergeCells count="45">
    <mergeCell ref="B9:B10"/>
    <mergeCell ref="A19:A20"/>
    <mergeCell ref="A21:A23"/>
    <mergeCell ref="B6:C6"/>
    <mergeCell ref="B7:C7"/>
    <mergeCell ref="A8:C8"/>
    <mergeCell ref="A15:A16"/>
    <mergeCell ref="A9:A10"/>
    <mergeCell ref="A13:A14"/>
    <mergeCell ref="A11:A12"/>
    <mergeCell ref="B31:B32"/>
    <mergeCell ref="B13:B14"/>
    <mergeCell ref="B17:B18"/>
    <mergeCell ref="A31:A32"/>
    <mergeCell ref="B15:B16"/>
    <mergeCell ref="B21:B23"/>
    <mergeCell ref="B24:B26"/>
    <mergeCell ref="B30:C30"/>
    <mergeCell ref="A29:C29"/>
    <mergeCell ref="A24:A26"/>
    <mergeCell ref="A27:A28"/>
    <mergeCell ref="B19:B20"/>
    <mergeCell ref="A17:A18"/>
    <mergeCell ref="C65:C66"/>
    <mergeCell ref="C70:C71"/>
    <mergeCell ref="C53:C54"/>
    <mergeCell ref="C55:C56"/>
    <mergeCell ref="C57:C58"/>
    <mergeCell ref="C59:C61"/>
    <mergeCell ref="Z4:AI4"/>
    <mergeCell ref="O4:X4"/>
    <mergeCell ref="D4:M4"/>
    <mergeCell ref="C62:C64"/>
    <mergeCell ref="C47:C48"/>
    <mergeCell ref="C49:C50"/>
    <mergeCell ref="C51:C52"/>
    <mergeCell ref="B37:C37"/>
    <mergeCell ref="B38:C38"/>
    <mergeCell ref="B36:C36"/>
    <mergeCell ref="A41:AK41"/>
    <mergeCell ref="B27:B28"/>
    <mergeCell ref="B33:C33"/>
    <mergeCell ref="B34:C34"/>
    <mergeCell ref="B35:C35"/>
    <mergeCell ref="B11:B12"/>
  </mergeCells>
  <phoneticPr fontId="0" type="noConversion"/>
  <printOptions horizontalCentered="1"/>
  <pageMargins left="0.25" right="0.25" top="0.25" bottom="0.25" header="0.5" footer="0.5"/>
  <pageSetup scale="39"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O37"/>
  <sheetViews>
    <sheetView showGridLines="0" topLeftCell="A5" zoomScaleNormal="100" workbookViewId="0">
      <selection activeCell="E18" sqref="E18"/>
    </sheetView>
  </sheetViews>
  <sheetFormatPr defaultColWidth="8.85546875" defaultRowHeight="12.75"/>
  <cols>
    <col min="1" max="1" width="11" customWidth="1"/>
    <col min="2" max="2" width="59.28515625" customWidth="1"/>
    <col min="3" max="3" width="8.85546875" customWidth="1"/>
    <col min="4" max="4" width="7.85546875" customWidth="1"/>
    <col min="5" max="5" width="41.5703125" customWidth="1"/>
    <col min="6" max="6" width="3.42578125" customWidth="1"/>
    <col min="7" max="13" width="41.5703125" style="158" hidden="1" customWidth="1"/>
    <col min="14" max="14" width="41.5703125" hidden="1" customWidth="1"/>
    <col min="15" max="15" width="19.28515625" hidden="1" customWidth="1"/>
    <col min="16" max="49" width="0" hidden="1" customWidth="1"/>
  </cols>
  <sheetData>
    <row r="1" spans="1:15">
      <c r="A1" s="28"/>
      <c r="G1" s="158">
        <v>2</v>
      </c>
      <c r="H1" s="158">
        <v>1</v>
      </c>
      <c r="I1" s="158">
        <v>2</v>
      </c>
      <c r="J1" s="159"/>
      <c r="K1" s="159">
        <v>3</v>
      </c>
      <c r="L1" s="159"/>
      <c r="M1" s="159"/>
      <c r="N1" s="22"/>
      <c r="O1" s="22"/>
    </row>
    <row r="2" spans="1:15">
      <c r="H2" s="158" t="s">
        <v>49</v>
      </c>
      <c r="I2" s="158" t="s">
        <v>104</v>
      </c>
      <c r="J2" s="159"/>
      <c r="K2" s="159" t="s">
        <v>99</v>
      </c>
      <c r="L2" s="159"/>
      <c r="M2" s="159"/>
      <c r="N2" s="22"/>
      <c r="O2" s="22"/>
    </row>
    <row r="3" spans="1:15">
      <c r="G3" s="158" t="s">
        <v>164</v>
      </c>
      <c r="H3" s="160" t="str">
        <f>'DDR3 Spec'!D5</f>
        <v>-093E</v>
      </c>
      <c r="I3" s="160" t="s">
        <v>223</v>
      </c>
      <c r="J3" s="159">
        <v>1</v>
      </c>
      <c r="K3" s="159" t="s">
        <v>102</v>
      </c>
      <c r="L3" s="159">
        <v>4</v>
      </c>
      <c r="M3" s="159"/>
      <c r="N3" s="22"/>
      <c r="O3" s="22"/>
    </row>
    <row r="4" spans="1:15">
      <c r="G4" s="158" t="s">
        <v>208</v>
      </c>
      <c r="H4" s="158" t="str">
        <f>'DDR3 Spec'!E5</f>
        <v>-093</v>
      </c>
      <c r="I4" s="160" t="s">
        <v>224</v>
      </c>
      <c r="J4" s="159">
        <v>1</v>
      </c>
      <c r="K4" s="159" t="s">
        <v>103</v>
      </c>
      <c r="L4" s="159">
        <v>8</v>
      </c>
      <c r="M4" s="159"/>
      <c r="N4" s="22"/>
      <c r="O4" s="22"/>
    </row>
    <row r="5" spans="1:15" ht="23.25">
      <c r="A5" s="285" t="s">
        <v>216</v>
      </c>
      <c r="B5" s="286"/>
      <c r="C5" s="286"/>
      <c r="D5" s="286"/>
      <c r="E5" s="35"/>
      <c r="F5" s="35"/>
      <c r="G5" s="158" t="s">
        <v>209</v>
      </c>
      <c r="H5" s="158" t="str">
        <f>'DDR3 Spec'!F5</f>
        <v>-107E</v>
      </c>
      <c r="J5" s="159">
        <v>2</v>
      </c>
      <c r="K5" s="161" t="s">
        <v>101</v>
      </c>
      <c r="L5" s="159">
        <v>16</v>
      </c>
      <c r="M5" s="159"/>
      <c r="N5" s="22"/>
      <c r="O5" s="22"/>
    </row>
    <row r="6" spans="1:15" ht="23.25" customHeight="1" thickBot="1">
      <c r="A6" s="18"/>
      <c r="B6" s="18"/>
      <c r="C6" s="18"/>
      <c r="D6" s="18"/>
      <c r="G6" s="158" t="s">
        <v>137</v>
      </c>
      <c r="H6" s="160" t="str">
        <f>'DDR3 Spec'!G5</f>
        <v>-107</v>
      </c>
    </row>
    <row r="7" spans="1:15" ht="18.75" customHeight="1">
      <c r="A7" s="18"/>
      <c r="B7" s="86" t="s">
        <v>54</v>
      </c>
      <c r="C7" s="37" t="str">
        <f>INDEX(G3:G5,G1)</f>
        <v>2Gb</v>
      </c>
      <c r="D7" s="7"/>
      <c r="H7" s="160" t="str">
        <f>'DDR3 Spec'!H5</f>
        <v>-125E</v>
      </c>
    </row>
    <row r="8" spans="1:15" ht="18.75" customHeight="1">
      <c r="A8" s="18"/>
      <c r="B8" s="87" t="s">
        <v>60</v>
      </c>
      <c r="C8" s="32">
        <f>INDEX(L3:L5,K1)</f>
        <v>16</v>
      </c>
      <c r="D8" s="8"/>
      <c r="H8" s="158" t="str">
        <f>'DDR3 Spec'!I5</f>
        <v>-125</v>
      </c>
    </row>
    <row r="9" spans="1:15" ht="18.75" customHeight="1">
      <c r="A9" s="18"/>
      <c r="B9" s="87" t="s">
        <v>49</v>
      </c>
      <c r="C9" s="36" t="str">
        <f>INDEX(H3:H9,H1)</f>
        <v>-093E</v>
      </c>
      <c r="D9" s="8"/>
      <c r="H9" s="158" t="str">
        <f>'DDR3 Spec'!J5</f>
        <v>-15E</v>
      </c>
    </row>
    <row r="10" spans="1:15" ht="18.75" customHeight="1" thickBot="1">
      <c r="A10" s="18"/>
      <c r="B10" s="88" t="s">
        <v>225</v>
      </c>
      <c r="C10" s="38"/>
      <c r="D10" s="26"/>
      <c r="H10" s="158" t="str">
        <f>'DDR3 Spec'!K5</f>
        <v>-187E</v>
      </c>
    </row>
    <row r="11" spans="1:15">
      <c r="A11" s="18"/>
      <c r="B11" s="39"/>
      <c r="C11" s="40"/>
      <c r="D11" s="39"/>
      <c r="H11" s="158" t="str">
        <f>'DDR3 Spec'!L5</f>
        <v>-187</v>
      </c>
    </row>
    <row r="12" spans="1:15">
      <c r="A12" s="18"/>
      <c r="B12" s="2"/>
      <c r="C12" s="2"/>
      <c r="D12" s="2"/>
      <c r="H12" s="158" t="str">
        <f>'DDR3 Spec'!M5</f>
        <v>-25</v>
      </c>
    </row>
    <row r="13" spans="1:15" ht="13.5" thickBot="1">
      <c r="A13" s="18"/>
      <c r="B13" s="18"/>
      <c r="C13" s="19"/>
      <c r="D13" s="18"/>
      <c r="H13" s="162" t="s">
        <v>259</v>
      </c>
    </row>
    <row r="14" spans="1:15" ht="15.95" customHeight="1">
      <c r="A14" s="89" t="s">
        <v>52</v>
      </c>
      <c r="B14" s="90" t="s">
        <v>53</v>
      </c>
      <c r="C14" s="91" t="s">
        <v>50</v>
      </c>
      <c r="D14" s="92" t="s">
        <v>51</v>
      </c>
      <c r="H14" s="162" t="s">
        <v>259</v>
      </c>
    </row>
    <row r="15" spans="1:15" ht="14.25">
      <c r="A15" s="61"/>
      <c r="B15" s="62" t="s">
        <v>238</v>
      </c>
      <c r="C15" s="93">
        <f>'DDR3 Spec'!L80</f>
        <v>1.575</v>
      </c>
      <c r="D15" s="100" t="s">
        <v>12</v>
      </c>
      <c r="E15" s="1"/>
      <c r="F15" s="1"/>
      <c r="G15" s="160"/>
    </row>
    <row r="16" spans="1:15" ht="14.25">
      <c r="A16" s="61"/>
      <c r="B16" s="62" t="s">
        <v>239</v>
      </c>
      <c r="C16" s="93">
        <f>'DDR3 Spec'!L81</f>
        <v>1.425</v>
      </c>
      <c r="D16" s="100" t="s">
        <v>12</v>
      </c>
      <c r="E16" s="1"/>
      <c r="F16" s="1"/>
      <c r="G16" s="160"/>
    </row>
    <row r="17" spans="1:10" ht="14.25">
      <c r="A17" s="61"/>
      <c r="B17" s="62"/>
      <c r="C17" s="93"/>
      <c r="D17" s="100"/>
      <c r="E17" s="1"/>
      <c r="F17" s="1"/>
      <c r="G17" s="160"/>
    </row>
    <row r="18" spans="1:10" ht="14.25">
      <c r="A18" s="61"/>
      <c r="B18" s="62" t="s">
        <v>156</v>
      </c>
      <c r="C18" s="94">
        <v>1</v>
      </c>
      <c r="D18" s="100"/>
      <c r="E18" s="1"/>
      <c r="F18" s="1"/>
      <c r="G18" s="160"/>
    </row>
    <row r="19" spans="1:10" ht="14.25">
      <c r="A19" s="61"/>
      <c r="B19" s="62" t="s">
        <v>157</v>
      </c>
      <c r="C19" s="95">
        <f>INDEX(J3:J5,K1)</f>
        <v>2</v>
      </c>
      <c r="D19" s="100"/>
      <c r="E19" s="1"/>
      <c r="F19" s="1"/>
      <c r="G19" s="160"/>
      <c r="J19" s="162" t="s">
        <v>259</v>
      </c>
    </row>
    <row r="20" spans="1:10" ht="14.25">
      <c r="A20" s="61"/>
      <c r="B20" s="62"/>
      <c r="C20" s="93"/>
      <c r="D20" s="100"/>
      <c r="E20" s="1"/>
      <c r="F20" s="1"/>
      <c r="G20" s="160"/>
    </row>
    <row r="21" spans="1:10" ht="14.25">
      <c r="A21" s="61" t="s">
        <v>226</v>
      </c>
      <c r="B21" s="62" t="s">
        <v>145</v>
      </c>
      <c r="C21" s="93">
        <f>'DDR3 Spec'!L83</f>
        <v>135</v>
      </c>
      <c r="D21" s="100" t="s">
        <v>13</v>
      </c>
    </row>
    <row r="22" spans="1:10" ht="14.25">
      <c r="A22" s="61" t="s">
        <v>240</v>
      </c>
      <c r="B22" s="62" t="s">
        <v>146</v>
      </c>
      <c r="C22" s="93">
        <f>'DDR3 Spec'!L84</f>
        <v>50</v>
      </c>
      <c r="D22" s="100" t="s">
        <v>13</v>
      </c>
    </row>
    <row r="23" spans="1:10" ht="14.25">
      <c r="A23" s="61" t="s">
        <v>229</v>
      </c>
      <c r="B23" s="62" t="s">
        <v>147</v>
      </c>
      <c r="C23" s="93">
        <f>'DDR3 Spec'!L85</f>
        <v>52</v>
      </c>
      <c r="D23" s="100" t="s">
        <v>13</v>
      </c>
    </row>
    <row r="24" spans="1:10" ht="14.25">
      <c r="A24" s="61" t="s">
        <v>230</v>
      </c>
      <c r="B24" s="62" t="s">
        <v>148</v>
      </c>
      <c r="C24" s="93">
        <f>'DDR3 Spec'!L88</f>
        <v>55</v>
      </c>
      <c r="D24" s="100" t="s">
        <v>13</v>
      </c>
      <c r="E24" s="27"/>
      <c r="F24" s="27"/>
    </row>
    <row r="25" spans="1:10" ht="14.25">
      <c r="A25" s="61" t="s">
        <v>231</v>
      </c>
      <c r="B25" s="62" t="s">
        <v>149</v>
      </c>
      <c r="C25" s="93">
        <f>'DDR3 Spec'!L89</f>
        <v>55</v>
      </c>
      <c r="D25" s="100" t="s">
        <v>13</v>
      </c>
    </row>
    <row r="26" spans="1:10" ht="14.25">
      <c r="A26" s="61" t="s">
        <v>232</v>
      </c>
      <c r="B26" s="62" t="s">
        <v>150</v>
      </c>
      <c r="C26" s="93">
        <f>'DDR3 Spec'!L90</f>
        <v>320</v>
      </c>
      <c r="D26" s="100" t="s">
        <v>13</v>
      </c>
    </row>
    <row r="27" spans="1:10" ht="14.25">
      <c r="A27" s="61" t="s">
        <v>233</v>
      </c>
      <c r="B27" s="62" t="s">
        <v>151</v>
      </c>
      <c r="C27" s="93">
        <f>'DDR3 Spec'!L91</f>
        <v>350</v>
      </c>
      <c r="D27" s="100" t="s">
        <v>13</v>
      </c>
    </row>
    <row r="28" spans="1:10" ht="14.25">
      <c r="A28" s="61" t="s">
        <v>234</v>
      </c>
      <c r="B28" s="62" t="s">
        <v>152</v>
      </c>
      <c r="C28" s="93">
        <f>'DDR3 Spec'!L92</f>
        <v>230</v>
      </c>
      <c r="D28" s="100" t="s">
        <v>13</v>
      </c>
    </row>
    <row r="29" spans="1:10" ht="14.25">
      <c r="A29" s="61"/>
      <c r="B29" s="62"/>
      <c r="C29" s="95"/>
      <c r="D29" s="100"/>
    </row>
    <row r="30" spans="1:10" ht="16.5">
      <c r="A30" s="61"/>
      <c r="B30" s="85" t="s">
        <v>191</v>
      </c>
      <c r="C30" s="93">
        <f>'DDR3 Spec'!L94</f>
        <v>0.93799999999999994</v>
      </c>
      <c r="D30" s="100" t="s">
        <v>37</v>
      </c>
    </row>
    <row r="31" spans="1:10" ht="16.5">
      <c r="A31" s="96" t="s">
        <v>192</v>
      </c>
      <c r="B31" s="62" t="s">
        <v>1</v>
      </c>
      <c r="C31" s="93">
        <f>'DDR3 Spec'!L95</f>
        <v>7.5</v>
      </c>
      <c r="D31" s="100" t="s">
        <v>37</v>
      </c>
    </row>
    <row r="32" spans="1:10" ht="16.5">
      <c r="A32" s="96" t="s">
        <v>193</v>
      </c>
      <c r="B32" s="62" t="s">
        <v>153</v>
      </c>
      <c r="C32" s="93">
        <f>'DDR3 Spec'!L96</f>
        <v>45.155000000000001</v>
      </c>
      <c r="D32" s="100" t="s">
        <v>37</v>
      </c>
    </row>
    <row r="33" spans="1:4" ht="16.5">
      <c r="A33" s="96" t="s">
        <v>194</v>
      </c>
      <c r="B33" s="85" t="s">
        <v>242</v>
      </c>
      <c r="C33" s="93">
        <f>'DDR3 Spec'!L97</f>
        <v>36</v>
      </c>
      <c r="D33" s="100" t="s">
        <v>37</v>
      </c>
    </row>
    <row r="34" spans="1:4" ht="16.5">
      <c r="A34" s="96" t="s">
        <v>196</v>
      </c>
      <c r="B34" s="62" t="s">
        <v>154</v>
      </c>
      <c r="C34" s="93">
        <f>'DDR3 Spec'!L98</f>
        <v>160</v>
      </c>
      <c r="D34" s="100" t="s">
        <v>37</v>
      </c>
    </row>
    <row r="35" spans="1:4" ht="16.5">
      <c r="A35" s="96" t="s">
        <v>197</v>
      </c>
      <c r="B35" s="62" t="s">
        <v>94</v>
      </c>
      <c r="C35" s="93">
        <f>'DDR3 Spec'!L99</f>
        <v>7.8</v>
      </c>
      <c r="D35" s="100" t="s">
        <v>204</v>
      </c>
    </row>
    <row r="36" spans="1:4" ht="16.5">
      <c r="A36" s="96" t="s">
        <v>235</v>
      </c>
      <c r="B36" s="62" t="s">
        <v>199</v>
      </c>
      <c r="C36" s="93">
        <f>'DDR3 Spec'!L100</f>
        <v>0.93799999999999994</v>
      </c>
      <c r="D36" s="100" t="s">
        <v>37</v>
      </c>
    </row>
    <row r="37" spans="1:4" ht="17.25" thickBot="1">
      <c r="A37" s="97" t="s">
        <v>241</v>
      </c>
      <c r="B37" s="98" t="s">
        <v>201</v>
      </c>
      <c r="C37" s="99">
        <f>'DDR3 Spec'!L101</f>
        <v>3.3</v>
      </c>
      <c r="D37" s="101" t="s">
        <v>37</v>
      </c>
    </row>
  </sheetData>
  <sheetProtection selectLockedCells="1" selectUnlockedCells="1"/>
  <protectedRanges>
    <protectedRange sqref="C15:C37" name="Range1"/>
  </protectedRanges>
  <mergeCells count="1">
    <mergeCell ref="A5:D5"/>
  </mergeCells>
  <phoneticPr fontId="0" type="noConversion"/>
  <printOptions horizontalCentered="1"/>
  <pageMargins left="0.25" right="0.25" top="0.25" bottom="0.2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2</xdr:col>
                    <xdr:colOff>0</xdr:colOff>
                    <xdr:row>7</xdr:row>
                    <xdr:rowOff>0</xdr:rowOff>
                  </from>
                  <to>
                    <xdr:col>4</xdr:col>
                    <xdr:colOff>9525</xdr:colOff>
                    <xdr:row>8</xdr:row>
                    <xdr:rowOff>0</xdr:rowOff>
                  </to>
                </anchor>
              </controlPr>
            </control>
          </mc:Choice>
        </mc:AlternateContent>
        <mc:AlternateContent xmlns:mc="http://schemas.openxmlformats.org/markup-compatibility/2006">
          <mc:Choice Requires="x14">
            <control shapeId="4100" r:id="rId5" name="Drop Down 4">
              <controlPr defaultSize="0" autoFill="0" autoLine="0" autoPict="0" macro="[0]!DropDown4_Change">
                <anchor moveWithCells="1">
                  <from>
                    <xdr:col>2</xdr:col>
                    <xdr:colOff>0</xdr:colOff>
                    <xdr:row>8</xdr:row>
                    <xdr:rowOff>0</xdr:rowOff>
                  </from>
                  <to>
                    <xdr:col>4</xdr:col>
                    <xdr:colOff>9525</xdr:colOff>
                    <xdr:row>9</xdr:row>
                    <xdr:rowOff>0</xdr:rowOff>
                  </to>
                </anchor>
              </controlPr>
            </control>
          </mc:Choice>
        </mc:AlternateContent>
        <mc:AlternateContent xmlns:mc="http://schemas.openxmlformats.org/markup-compatibility/2006">
          <mc:Choice Requires="x14">
            <control shapeId="4102" r:id="rId6" name="Drop Down 6">
              <controlPr defaultSize="0" autoFill="0" autoLine="0" autoPict="0">
                <anchor moveWithCells="1">
                  <from>
                    <xdr:col>2</xdr:col>
                    <xdr:colOff>0</xdr:colOff>
                    <xdr:row>6</xdr:row>
                    <xdr:rowOff>0</xdr:rowOff>
                  </from>
                  <to>
                    <xdr:col>4</xdr:col>
                    <xdr:colOff>9525</xdr:colOff>
                    <xdr:row>7</xdr:row>
                    <xdr:rowOff>0</xdr:rowOff>
                  </to>
                </anchor>
              </controlPr>
            </control>
          </mc:Choice>
        </mc:AlternateContent>
        <mc:AlternateContent xmlns:mc="http://schemas.openxmlformats.org/markup-compatibility/2006">
          <mc:Choice Requires="x14">
            <control shapeId="4993" r:id="rId7" name="Drop Down 897">
              <controlPr defaultSize="0" autoFill="0" autoLine="0" autoPict="0">
                <anchor moveWithCells="1">
                  <from>
                    <xdr:col>2</xdr:col>
                    <xdr:colOff>0</xdr:colOff>
                    <xdr:row>7</xdr:row>
                    <xdr:rowOff>0</xdr:rowOff>
                  </from>
                  <to>
                    <xdr:col>4</xdr:col>
                    <xdr:colOff>9525</xdr:colOff>
                    <xdr:row>8</xdr:row>
                    <xdr:rowOff>0</xdr:rowOff>
                  </to>
                </anchor>
              </controlPr>
            </control>
          </mc:Choice>
        </mc:AlternateContent>
        <mc:AlternateContent xmlns:mc="http://schemas.openxmlformats.org/markup-compatibility/2006">
          <mc:Choice Requires="x14">
            <control shapeId="4994" r:id="rId8" name="Drop Down 898">
              <controlPr defaultSize="0" autoFill="0" autoLine="0" autoPict="0">
                <anchor moveWithCells="1">
                  <from>
                    <xdr:col>2</xdr:col>
                    <xdr:colOff>0</xdr:colOff>
                    <xdr:row>8</xdr:row>
                    <xdr:rowOff>0</xdr:rowOff>
                  </from>
                  <to>
                    <xdr:col>4</xdr:col>
                    <xdr:colOff>9525</xdr:colOff>
                    <xdr:row>9</xdr:row>
                    <xdr:rowOff>0</xdr:rowOff>
                  </to>
                </anchor>
              </controlPr>
            </control>
          </mc:Choice>
        </mc:AlternateContent>
        <mc:AlternateContent xmlns:mc="http://schemas.openxmlformats.org/markup-compatibility/2006">
          <mc:Choice Requires="x14">
            <control shapeId="4996" r:id="rId9" name="Drop Down 900">
              <controlPr defaultSize="0" autoFill="0" autoLine="0" autoPict="0">
                <anchor moveWithCells="1">
                  <from>
                    <xdr:col>2</xdr:col>
                    <xdr:colOff>0</xdr:colOff>
                    <xdr:row>9</xdr:row>
                    <xdr:rowOff>0</xdr:rowOff>
                  </from>
                  <to>
                    <xdr:col>4</xdr:col>
                    <xdr:colOff>9525</xdr:colOff>
                    <xdr:row>9</xdr:row>
                    <xdr:rowOff>228600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O45"/>
  <sheetViews>
    <sheetView showGridLines="0" topLeftCell="B1" zoomScale="75" workbookViewId="0">
      <selection activeCell="Q14" sqref="Q14"/>
    </sheetView>
  </sheetViews>
  <sheetFormatPr defaultRowHeight="12.75"/>
  <cols>
    <col min="1" max="1" width="15.42578125" style="243" customWidth="1"/>
    <col min="2" max="2" width="46.140625" style="166" customWidth="1"/>
    <col min="3" max="3" width="19.42578125" style="166" bestFit="1" customWidth="1"/>
    <col min="4" max="4" width="5.85546875" style="244" customWidth="1"/>
    <col min="5" max="5" width="40.28515625" style="166" customWidth="1"/>
    <col min="6" max="6" width="0.85546875" style="245" customWidth="1"/>
    <col min="7" max="7" width="4.140625" style="166" customWidth="1"/>
    <col min="8" max="8" width="9.7109375" style="166" customWidth="1"/>
    <col min="9" max="9" width="7.85546875" style="166" customWidth="1"/>
    <col min="10" max="10" width="9.7109375" style="166" customWidth="1"/>
    <col min="11" max="11" width="7.85546875" style="166" customWidth="1"/>
    <col min="12" max="12" width="9.7109375" style="166" customWidth="1"/>
    <col min="13" max="13" width="9" style="166" customWidth="1"/>
    <col min="14" max="14" width="5.28515625" style="166" customWidth="1"/>
    <col min="15" max="15" width="4.85546875" style="166" customWidth="1"/>
    <col min="16" max="16" width="9.7109375" style="166" customWidth="1"/>
    <col min="17" max="17" width="7.7109375" style="166" customWidth="1"/>
    <col min="18" max="18" width="9.7109375" style="166" customWidth="1"/>
    <col min="19" max="19" width="7.85546875" style="166" customWidth="1"/>
    <col min="20" max="20" width="9.7109375" style="166" customWidth="1"/>
    <col min="21" max="21" width="7.85546875" style="166" customWidth="1"/>
    <col min="22" max="22" width="4.85546875" style="166" customWidth="1"/>
    <col min="23" max="23" width="7.5703125" style="166" hidden="1" customWidth="1"/>
    <col min="24" max="25" width="11" style="166" hidden="1" customWidth="1"/>
    <col min="26" max="26" width="3.5703125" style="166" hidden="1" customWidth="1"/>
    <col min="27" max="28" width="11" style="166" hidden="1" customWidth="1"/>
    <col min="29" max="29" width="4" style="166" hidden="1" customWidth="1"/>
    <col min="30" max="37" width="11" style="166" hidden="1" customWidth="1"/>
    <col min="38" max="40" width="11" style="166" customWidth="1"/>
    <col min="41" max="16384" width="9.140625" style="166"/>
  </cols>
  <sheetData>
    <row r="1" spans="1:41">
      <c r="B1" s="29"/>
    </row>
    <row r="3" spans="1:41" ht="13.5" thickBot="1"/>
    <row r="4" spans="1:41" s="182" customFormat="1" ht="21.75" customHeight="1" thickBot="1">
      <c r="A4" s="181"/>
      <c r="D4" s="183"/>
      <c r="F4" s="184"/>
      <c r="G4" s="291" t="s">
        <v>301</v>
      </c>
      <c r="H4" s="292"/>
      <c r="I4" s="292"/>
      <c r="J4" s="292"/>
      <c r="K4" s="292"/>
      <c r="L4" s="292"/>
      <c r="M4" s="292"/>
      <c r="N4" s="293"/>
      <c r="O4" s="291" t="s">
        <v>302</v>
      </c>
      <c r="P4" s="294"/>
      <c r="Q4" s="294"/>
      <c r="R4" s="294"/>
      <c r="S4" s="294"/>
      <c r="T4" s="294"/>
      <c r="U4" s="294"/>
      <c r="V4" s="295"/>
    </row>
    <row r="5" spans="1:41" ht="23.25">
      <c r="A5" s="152"/>
      <c r="B5" s="153" t="s">
        <v>19</v>
      </c>
      <c r="C5" s="154"/>
      <c r="D5" s="154"/>
      <c r="E5" s="154"/>
      <c r="G5" s="246"/>
      <c r="H5" s="247"/>
      <c r="I5" s="247"/>
      <c r="J5" s="247"/>
      <c r="K5" s="247"/>
      <c r="L5" s="247"/>
      <c r="M5" s="247"/>
      <c r="N5" s="248"/>
      <c r="O5" s="246"/>
      <c r="P5" s="175"/>
      <c r="Q5" s="175"/>
      <c r="R5" s="175"/>
      <c r="S5" s="175"/>
      <c r="T5" s="175"/>
      <c r="U5" s="175"/>
      <c r="V5" s="249"/>
    </row>
    <row r="6" spans="1:41" ht="12.6" customHeight="1" thickBot="1">
      <c r="A6" s="152"/>
      <c r="B6" s="153"/>
      <c r="C6" s="154"/>
      <c r="D6" s="154"/>
      <c r="E6" s="154"/>
      <c r="F6" s="166"/>
      <c r="G6" s="250"/>
      <c r="H6" s="175"/>
      <c r="I6" s="175"/>
      <c r="J6" s="175"/>
      <c r="K6" s="175"/>
      <c r="L6" s="175"/>
      <c r="M6" s="175"/>
      <c r="N6" s="249"/>
      <c r="O6" s="250"/>
      <c r="P6" s="175"/>
      <c r="Q6" s="175"/>
      <c r="R6" s="175"/>
      <c r="S6" s="175"/>
      <c r="T6" s="175"/>
      <c r="U6" s="175"/>
      <c r="V6" s="249"/>
    </row>
    <row r="7" spans="1:41" ht="15">
      <c r="B7" s="102" t="s">
        <v>245</v>
      </c>
      <c r="C7" s="103">
        <v>1.5</v>
      </c>
      <c r="D7" s="104" t="s">
        <v>12</v>
      </c>
      <c r="E7" s="105" t="str">
        <f>IF(C7&lt;'DDR3 Config'!C16,"ERROR, VCC too Low",IF(C7&gt;'DDR3 Config'!C15,"ERROR, too High",""))</f>
        <v/>
      </c>
      <c r="F7" s="166"/>
      <c r="G7" s="250"/>
      <c r="H7" s="175"/>
      <c r="I7" s="175"/>
      <c r="J7" s="175"/>
      <c r="K7" s="175"/>
      <c r="L7" s="175"/>
      <c r="M7" s="175"/>
      <c r="N7" s="249"/>
      <c r="O7" s="250"/>
      <c r="P7" s="175"/>
      <c r="Q7" s="175"/>
      <c r="R7" s="175"/>
      <c r="S7" s="175"/>
      <c r="T7" s="175"/>
      <c r="U7" s="175"/>
      <c r="V7" s="249"/>
    </row>
    <row r="8" spans="1:41" ht="15">
      <c r="B8" s="107" t="s">
        <v>158</v>
      </c>
      <c r="C8" s="108">
        <v>800</v>
      </c>
      <c r="D8" s="109" t="s">
        <v>11</v>
      </c>
      <c r="E8" s="110" t="str">
        <f>IF(C8+1&lt;1000/'DDR3 Config'!C37,"ERROR, lower of operaitonal frequency range",IF(C8 &gt; 1000 /'DDR3 Config'!C36,"ERROR, higher of operaitonal frequency range",""))</f>
        <v/>
      </c>
      <c r="F8" s="166"/>
      <c r="G8" s="250"/>
      <c r="H8" s="175"/>
      <c r="I8" s="175"/>
      <c r="J8" s="175"/>
      <c r="K8" s="175"/>
      <c r="L8" s="175"/>
      <c r="M8" s="175"/>
      <c r="N8" s="249"/>
      <c r="O8" s="250"/>
      <c r="P8" s="175"/>
      <c r="Q8" s="175"/>
      <c r="R8" s="175"/>
      <c r="S8" s="175"/>
      <c r="T8" s="175"/>
      <c r="U8" s="175"/>
      <c r="V8" s="249"/>
    </row>
    <row r="9" spans="1:41" ht="15">
      <c r="B9" s="107" t="s">
        <v>159</v>
      </c>
      <c r="C9" s="108">
        <v>8</v>
      </c>
      <c r="D9" s="109"/>
      <c r="E9" s="111" t="s">
        <v>64</v>
      </c>
      <c r="F9" s="166"/>
      <c r="G9" s="250"/>
      <c r="H9" s="175"/>
      <c r="I9" s="175"/>
      <c r="J9" s="175"/>
      <c r="K9" s="175"/>
      <c r="L9" s="175"/>
      <c r="M9" s="175"/>
      <c r="N9" s="249"/>
      <c r="O9" s="250"/>
      <c r="P9" s="175"/>
      <c r="Q9" s="175"/>
      <c r="R9" s="175"/>
      <c r="S9" s="175"/>
      <c r="T9" s="175"/>
      <c r="U9" s="175"/>
      <c r="V9" s="249"/>
    </row>
    <row r="10" spans="1:41" ht="15.75" thickBot="1">
      <c r="B10" s="107"/>
      <c r="C10" s="112"/>
      <c r="D10" s="109"/>
      <c r="E10" s="111"/>
      <c r="F10" s="166"/>
      <c r="G10" s="250"/>
      <c r="H10" s="175"/>
      <c r="I10" s="175"/>
      <c r="J10" s="175"/>
      <c r="K10" s="175"/>
      <c r="L10" s="175"/>
      <c r="M10" s="175"/>
      <c r="N10" s="249"/>
      <c r="O10" s="250"/>
      <c r="P10" s="175"/>
      <c r="Q10" s="175"/>
      <c r="R10" s="175"/>
      <c r="S10" s="175"/>
      <c r="T10" s="175"/>
      <c r="U10" s="175"/>
      <c r="V10" s="249"/>
    </row>
    <row r="11" spans="1:41" ht="30" customHeight="1">
      <c r="A11" s="127" t="s">
        <v>86</v>
      </c>
      <c r="B11" s="113" t="s">
        <v>296</v>
      </c>
      <c r="C11" s="177">
        <f>IF(K18= "na",0, K18) +IF(K19= "na",0, K19)</f>
        <v>4.5658871555401204</v>
      </c>
      <c r="D11" s="109" t="s">
        <v>10</v>
      </c>
      <c r="E11" s="296" t="s">
        <v>294</v>
      </c>
      <c r="F11" s="166"/>
      <c r="G11" s="250"/>
      <c r="H11" s="175"/>
      <c r="I11" s="175"/>
      <c r="J11" s="175"/>
      <c r="K11" s="175"/>
      <c r="L11" s="175"/>
      <c r="M11" s="175"/>
      <c r="N11" s="249"/>
      <c r="O11" s="250"/>
      <c r="P11" s="175"/>
      <c r="Q11" s="175"/>
      <c r="R11" s="175"/>
      <c r="S11" s="175"/>
      <c r="T11" s="175"/>
      <c r="U11" s="175"/>
      <c r="V11" s="249"/>
    </row>
    <row r="12" spans="1:41" ht="30" customHeight="1">
      <c r="A12" s="128" t="s">
        <v>87</v>
      </c>
      <c r="B12" s="113" t="s">
        <v>295</v>
      </c>
      <c r="C12" s="177">
        <f>IF(S18= "na",0, S18) +IF(S19= "na",0, S19)</f>
        <v>21.226609045391911</v>
      </c>
      <c r="D12" s="109" t="s">
        <v>10</v>
      </c>
      <c r="E12" s="297"/>
      <c r="F12" s="106"/>
      <c r="G12" s="250"/>
      <c r="H12" s="187" t="s">
        <v>299</v>
      </c>
      <c r="I12" s="175"/>
      <c r="J12" s="175"/>
      <c r="K12" s="175"/>
      <c r="L12" s="175"/>
      <c r="M12" s="175"/>
      <c r="N12" s="249"/>
      <c r="O12" s="250"/>
      <c r="P12" s="187" t="s">
        <v>299</v>
      </c>
      <c r="Q12" s="175"/>
      <c r="R12" s="175"/>
      <c r="S12" s="175"/>
      <c r="T12" s="175"/>
      <c r="U12" s="175"/>
      <c r="V12" s="249"/>
    </row>
    <row r="13" spans="1:41" ht="30" customHeight="1">
      <c r="A13" s="128" t="s">
        <v>89</v>
      </c>
      <c r="B13" s="113" t="s">
        <v>297</v>
      </c>
      <c r="C13" s="177">
        <f>IF(M18= "na",0, M18) +IF(M19= "na",0, M19)</f>
        <v>15.465421830361603</v>
      </c>
      <c r="D13" s="109" t="s">
        <v>10</v>
      </c>
      <c r="E13" s="296" t="s">
        <v>293</v>
      </c>
      <c r="F13" s="106"/>
      <c r="G13" s="250"/>
      <c r="H13" s="167" t="s">
        <v>270</v>
      </c>
      <c r="I13" s="169">
        <v>120</v>
      </c>
      <c r="J13" s="167" t="s">
        <v>268</v>
      </c>
      <c r="K13" s="169">
        <v>34</v>
      </c>
      <c r="L13" s="167" t="s">
        <v>272</v>
      </c>
      <c r="M13" s="169">
        <v>80</v>
      </c>
      <c r="N13" s="249"/>
      <c r="O13" s="250"/>
      <c r="P13" s="167" t="s">
        <v>274</v>
      </c>
      <c r="Q13" s="169">
        <v>34</v>
      </c>
      <c r="R13" s="167" t="s">
        <v>276</v>
      </c>
      <c r="S13" s="169">
        <v>60</v>
      </c>
      <c r="T13" s="167" t="s">
        <v>272</v>
      </c>
      <c r="U13" s="260">
        <f>M13</f>
        <v>80</v>
      </c>
      <c r="V13" s="249"/>
      <c r="X13" s="251" t="s">
        <v>286</v>
      </c>
      <c r="Y13" s="252">
        <f>1*Q17/Q13</f>
        <v>14.041850220264319</v>
      </c>
      <c r="Z13" s="251"/>
      <c r="AA13" s="251" t="s">
        <v>288</v>
      </c>
      <c r="AB13" s="252">
        <f>1000*((Q15-0.001*S17)/S13)</f>
        <v>17.042951541850218</v>
      </c>
      <c r="AC13" s="251"/>
      <c r="AD13" s="251" t="s">
        <v>288</v>
      </c>
      <c r="AE13" s="252">
        <f>1000*((Q15-0.001*U17)/U13)</f>
        <v>11.852973568281937</v>
      </c>
      <c r="AF13" s="253"/>
      <c r="AG13" s="253"/>
      <c r="AH13" s="253"/>
      <c r="AI13" s="253"/>
      <c r="AJ13" s="253"/>
      <c r="AK13" s="253"/>
      <c r="AL13" s="253"/>
      <c r="AM13" s="253"/>
      <c r="AN13" s="253"/>
      <c r="AO13" s="175"/>
    </row>
    <row r="14" spans="1:41" ht="30" customHeight="1">
      <c r="A14" s="128" t="s">
        <v>88</v>
      </c>
      <c r="B14" s="113" t="s">
        <v>298</v>
      </c>
      <c r="C14" s="177">
        <f>IF(U18= "na",0, U18) +IF(U19= "na",0, U19)</f>
        <v>15.413377661122865</v>
      </c>
      <c r="D14" s="109" t="s">
        <v>10</v>
      </c>
      <c r="E14" s="297"/>
      <c r="F14" s="106"/>
      <c r="G14" s="250"/>
      <c r="H14" s="168" t="s">
        <v>271</v>
      </c>
      <c r="I14" s="170">
        <v>120</v>
      </c>
      <c r="J14" s="168" t="s">
        <v>269</v>
      </c>
      <c r="K14" s="170">
        <v>15</v>
      </c>
      <c r="L14" s="173" t="s">
        <v>273</v>
      </c>
      <c r="M14" s="174">
        <v>80</v>
      </c>
      <c r="N14" s="249"/>
      <c r="O14" s="250"/>
      <c r="P14" s="168" t="s">
        <v>259</v>
      </c>
      <c r="Q14" s="254"/>
      <c r="R14" s="173" t="s">
        <v>275</v>
      </c>
      <c r="S14" s="174">
        <v>60</v>
      </c>
      <c r="T14" s="173" t="s">
        <v>273</v>
      </c>
      <c r="U14" s="260">
        <f>M14</f>
        <v>80</v>
      </c>
      <c r="V14" s="249"/>
      <c r="X14" s="253"/>
      <c r="Y14" s="253"/>
      <c r="Z14" s="253"/>
      <c r="AA14" s="251" t="s">
        <v>287</v>
      </c>
      <c r="AB14" s="252">
        <f>1*S17/S14</f>
        <v>7.9570484581497807</v>
      </c>
      <c r="AC14" s="251"/>
      <c r="AD14" s="251" t="s">
        <v>287</v>
      </c>
      <c r="AE14" s="252">
        <f>1*U17/U14</f>
        <v>6.8970264317180625</v>
      </c>
      <c r="AF14" s="253"/>
      <c r="AG14" s="253"/>
      <c r="AH14" s="253"/>
      <c r="AI14" s="253"/>
      <c r="AJ14" s="253"/>
      <c r="AK14" s="253"/>
      <c r="AL14" s="253"/>
      <c r="AM14" s="253"/>
      <c r="AN14" s="253"/>
      <c r="AO14" s="175"/>
    </row>
    <row r="15" spans="1:41" ht="18" customHeight="1">
      <c r="A15" s="128"/>
      <c r="B15" s="113"/>
      <c r="C15" s="115"/>
      <c r="D15" s="109"/>
      <c r="E15" s="116"/>
      <c r="F15" s="106"/>
      <c r="G15" s="250"/>
      <c r="H15" s="171" t="s">
        <v>279</v>
      </c>
      <c r="I15" s="255">
        <f>$C$7</f>
        <v>1.5</v>
      </c>
      <c r="J15" s="172"/>
      <c r="K15" s="172"/>
      <c r="L15" s="168" t="s">
        <v>282</v>
      </c>
      <c r="M15" s="170">
        <v>15</v>
      </c>
      <c r="N15" s="249"/>
      <c r="O15" s="250"/>
      <c r="P15" s="171" t="s">
        <v>279</v>
      </c>
      <c r="Q15" s="255">
        <f>$C$7</f>
        <v>1.5</v>
      </c>
      <c r="R15" s="168" t="s">
        <v>269</v>
      </c>
      <c r="S15" s="170">
        <v>0</v>
      </c>
      <c r="T15" s="168" t="s">
        <v>282</v>
      </c>
      <c r="U15" s="260">
        <f>M15</f>
        <v>15</v>
      </c>
      <c r="V15" s="249"/>
      <c r="X15" s="253"/>
      <c r="Y15" s="253"/>
      <c r="Z15" s="253"/>
      <c r="AA15" s="251" t="s">
        <v>289</v>
      </c>
      <c r="AB15" s="252" t="e">
        <f>1*(S17-Q17)/S15</f>
        <v>#DIV/0!</v>
      </c>
      <c r="AC15" s="251"/>
      <c r="AD15" s="251" t="s">
        <v>289</v>
      </c>
      <c r="AE15" s="252">
        <f>1*(U17-Q17)/U15</f>
        <v>4.9559471365638768</v>
      </c>
      <c r="AF15" s="253"/>
      <c r="AG15" s="253"/>
      <c r="AH15" s="253"/>
      <c r="AI15" s="253"/>
      <c r="AJ15" s="253"/>
      <c r="AK15" s="253"/>
      <c r="AL15" s="253"/>
      <c r="AM15" s="253"/>
      <c r="AN15" s="253"/>
      <c r="AO15" s="175"/>
    </row>
    <row r="16" spans="1:41" ht="28.5">
      <c r="A16" s="128" t="s">
        <v>85</v>
      </c>
      <c r="B16" s="113" t="s">
        <v>160</v>
      </c>
      <c r="C16" s="117">
        <v>0.3</v>
      </c>
      <c r="D16" s="109"/>
      <c r="E16" s="116" t="str">
        <f>IF(SUM(C22+C23+C25+C26)*8/C9&gt;1,"Data Bus utilization is too high","")</f>
        <v/>
      </c>
      <c r="F16" s="106"/>
      <c r="G16" s="250"/>
      <c r="H16" s="187" t="s">
        <v>300</v>
      </c>
      <c r="I16" s="175"/>
      <c r="J16" s="175"/>
      <c r="K16" s="175"/>
      <c r="L16" s="175"/>
      <c r="M16" s="175"/>
      <c r="N16" s="249"/>
      <c r="O16" s="250"/>
      <c r="P16" s="187" t="s">
        <v>300</v>
      </c>
      <c r="Q16" s="175"/>
      <c r="R16" s="175"/>
      <c r="S16" s="256"/>
      <c r="T16" s="175"/>
      <c r="U16" s="256"/>
      <c r="V16" s="249"/>
      <c r="W16" s="175"/>
      <c r="X16" s="253"/>
      <c r="Y16" s="253"/>
      <c r="Z16" s="253"/>
      <c r="AA16" s="253"/>
      <c r="AB16" s="253"/>
      <c r="AC16" s="253"/>
      <c r="AD16" s="253"/>
      <c r="AE16" s="253"/>
      <c r="AF16" s="253"/>
      <c r="AG16" s="253"/>
      <c r="AH16" s="253"/>
      <c r="AI16" s="253"/>
      <c r="AJ16" s="253"/>
      <c r="AK16" s="253"/>
      <c r="AL16" s="253"/>
      <c r="AM16" s="253"/>
      <c r="AN16" s="253"/>
      <c r="AO16" s="175"/>
    </row>
    <row r="17" spans="1:41" ht="28.5">
      <c r="A17" s="128" t="s">
        <v>135</v>
      </c>
      <c r="B17" s="113" t="s">
        <v>3</v>
      </c>
      <c r="C17" s="117">
        <v>0.15</v>
      </c>
      <c r="D17" s="109"/>
      <c r="E17" s="114"/>
      <c r="F17" s="106"/>
      <c r="G17" s="250"/>
      <c r="H17" s="176" t="s">
        <v>290</v>
      </c>
      <c r="I17" s="178">
        <f>IF(I15&gt;0,1000*((I15/2)*(K13+K14)/((K13+K14)+IF(M13&gt;0,IF(M14&gt;0,(((I13*I14)/(I13+I14))*((M13*M14)/(M13+M14)+M15)/((I13*I14)/(I13+I14)+((M13*M14)/(M13+M14)+M15))),(I13*I14)/(I13+I14)),(I13*I14)/(I13+I14)))),"na")</f>
        <v>472.99944040290984</v>
      </c>
      <c r="J17" s="176" t="s">
        <v>291</v>
      </c>
      <c r="K17" s="178">
        <f>IF(K13&gt;0,         1000* (       I17*0.001  *K13/(K13+K14)),"na")</f>
        <v>328.20369334079464</v>
      </c>
      <c r="L17" s="176" t="s">
        <v>292</v>
      </c>
      <c r="M17" s="178">
        <f xml:space="preserve">   IF(M13&gt;0,       IF(M14&gt;0,      1000*         ( I17*0.001+ 1*M15* ( I17*0.001/(K13+K14)  - 0.004)),   "na"),   "na")</f>
        <v>557.79518746502515</v>
      </c>
      <c r="N17" s="249"/>
      <c r="O17" s="250"/>
      <c r="P17" s="176" t="s">
        <v>290</v>
      </c>
      <c r="Q17" s="178">
        <f>IF(Q15&gt;0,   1000*( (Q15/2 ) *   Q13    / (    IF(U13&gt;0, IF(U14&gt;0,    ( ( ((S13*S14)/(S13+S14)+S15 ) *  ((U13*U14)/(U13+U14)+U15)) / ( ((S13*S14)/(S13+S14)+S15)  +  ((U13*U14)/(U13+U14)+U15))), ((S13*S14)/(S13+S14)+S15 ) ), ((S13*S14)/(S13+S14)+S15 ) )        +Q13)      ),"na")</f>
        <v>477.42290748898682</v>
      </c>
      <c r="R17" s="176" t="s">
        <v>291</v>
      </c>
      <c r="S17" s="178">
        <f>IF(S13&gt;0,IF(S14&gt;0,    Q17+    (1000*Q15/2-Q17)     *     S15 /  ((S13*S14)/(S13+S14) + S15 ),"na"),"na")</f>
        <v>477.42290748898682</v>
      </c>
      <c r="T17" s="176" t="s">
        <v>292</v>
      </c>
      <c r="U17" s="178">
        <f>IF(U13&gt;0,IF(U14&gt;0,    Q17+    (1000*Q15/2-Q17)     *     U15 /  ((U13*U14)/(U13+U14) + U15 ),"na"),"na")</f>
        <v>551.76211453744497</v>
      </c>
      <c r="V17" s="249"/>
      <c r="W17" s="175"/>
      <c r="X17" s="253"/>
      <c r="Y17" s="253"/>
      <c r="Z17" s="253"/>
      <c r="AA17" s="253"/>
      <c r="AB17" s="253"/>
      <c r="AC17" s="253"/>
      <c r="AD17" s="253"/>
      <c r="AE17" s="253"/>
      <c r="AF17" s="253"/>
      <c r="AG17" s="253"/>
      <c r="AH17" s="253"/>
      <c r="AI17" s="253"/>
      <c r="AJ17" s="253"/>
      <c r="AK17" s="253"/>
      <c r="AL17" s="253"/>
      <c r="AM17" s="253"/>
      <c r="AN17" s="253"/>
      <c r="AO17" s="175"/>
    </row>
    <row r="18" spans="1:41" ht="28.5">
      <c r="A18" s="128" t="s">
        <v>136</v>
      </c>
      <c r="B18" s="113" t="s">
        <v>6</v>
      </c>
      <c r="C18" s="117">
        <v>0.15</v>
      </c>
      <c r="D18" s="109"/>
      <c r="E18" s="110" t="str">
        <f>IF(1-C18&lt;C22+C23,"ERROR, CKE HI must be greater than READ and WRITE output cycles","")</f>
        <v/>
      </c>
      <c r="F18" s="106"/>
      <c r="G18" s="250"/>
      <c r="H18" s="176" t="s">
        <v>277</v>
      </c>
      <c r="I18" s="179">
        <f>IF(I13&gt;0,IF(I14&gt;0,  1000*   (((I15-I17*0.001)/I13)*((I15-I17*0.001)/I13)*I13)  +  1000*   (((I17*0.001)/I14)*((I17*0.001)/I14)*I14),"na"),"na")</f>
        <v>10.65382183361835</v>
      </c>
      <c r="J18" s="176" t="s">
        <v>278</v>
      </c>
      <c r="K18" s="179">
        <f xml:space="preserve">    IF(K13&gt;0,         1000*  (I17*0.001/(K13+K14)) * (I17*0.001/(K13+K14))   *K13, "na")</f>
        <v>3.1681665977217164</v>
      </c>
      <c r="L18" s="176" t="s">
        <v>284</v>
      </c>
      <c r="M18" s="179">
        <f>IF(M13&gt;0,IF(M14&gt;0,(1000*(((I15-0.001*M17)/M13)*((I15-0.001*M17)/M13)*M13   +  (0.001*M17/M14)*(0.001*M17/M14)*M14) ),"na"),"na")</f>
        <v>14.98606724904012</v>
      </c>
      <c r="N18" s="249"/>
      <c r="O18" s="250"/>
      <c r="P18" s="176" t="s">
        <v>278</v>
      </c>
      <c r="Q18" s="179">
        <f xml:space="preserve">    IF(Q13&gt;0,         0.001*  (Q17/(Q13)) * (Q17/(Q13))    *Q13, "na")</f>
        <v>6.7039009586834615</v>
      </c>
      <c r="R18" s="176" t="s">
        <v>285</v>
      </c>
      <c r="S18" s="179">
        <f>IF(S13&gt;0,IF(S14&gt;0,   1000*( (1*          ((Q15-0.001*S17)/S13)  * ((Q15-0.001*S17)/S13) *S13     +     (0.001*S17/S14) * (0.001*S17/S14) *S13   )),"na"),"na")</f>
        <v>21.226609045391911</v>
      </c>
      <c r="T18" s="176" t="s">
        <v>284</v>
      </c>
      <c r="U18" s="179">
        <f>IF(U13&gt;0,IF(U14&gt;0,    1000*(1*          ((Q15-0.001*U17)/U13)  * ((Q15-0.001*U17)/U13) *U13     +     (0.001*U17/U14) * (0.001*U17/U14) *U13   ),"na"),"na")</f>
        <v>15.04495648081663</v>
      </c>
      <c r="V18" s="249"/>
      <c r="W18" s="175"/>
      <c r="X18" s="253"/>
      <c r="Y18" s="253"/>
      <c r="Z18" s="253"/>
      <c r="AA18" s="253"/>
      <c r="AB18" s="253"/>
      <c r="AC18" s="253"/>
      <c r="AD18" s="253"/>
      <c r="AE18" s="253"/>
      <c r="AF18" s="253"/>
      <c r="AG18" s="253"/>
      <c r="AH18" s="253"/>
      <c r="AI18" s="253"/>
      <c r="AJ18" s="253"/>
      <c r="AK18" s="253"/>
      <c r="AL18" s="253"/>
      <c r="AM18" s="253"/>
      <c r="AN18" s="253"/>
      <c r="AO18" s="175"/>
    </row>
    <row r="19" spans="1:41" ht="25.5">
      <c r="A19" s="128"/>
      <c r="B19" s="113"/>
      <c r="C19" s="118"/>
      <c r="D19" s="109"/>
      <c r="E19" s="110"/>
      <c r="F19" s="106"/>
      <c r="G19" s="250"/>
      <c r="H19" s="175"/>
      <c r="I19" s="175"/>
      <c r="J19" s="176" t="s">
        <v>280</v>
      </c>
      <c r="K19" s="179">
        <f>IF(K13&gt;0,IF(K14&gt;0,1000*(I17*0.001/(K13+K14))*(I17*0.001/(K13+K14))*K14,"na"),"na")</f>
        <v>1.3977205578184042</v>
      </c>
      <c r="L19" s="176" t="s">
        <v>281</v>
      </c>
      <c r="M19" s="180">
        <f>IF(M13&gt;0,IF(M14&gt;0,     IF(M15&gt;0,         1000*(   ( (0.001*M17-0.001*I17)/M15) * ( (0.001*M17-0.001*I17)/M15)* M15),"na"),"na"),"na")</f>
        <v>0.47935458132148295</v>
      </c>
      <c r="N19" s="249"/>
      <c r="O19" s="250"/>
      <c r="P19" s="175"/>
      <c r="Q19" s="175"/>
      <c r="R19" s="176" t="s">
        <v>283</v>
      </c>
      <c r="S19" s="180">
        <f>IF(S13&gt;0,IF(S14&gt;0,     IF(S15&gt;0,0.001*((       ((S17-Q17)/S15) * ((S17-Q17)/S15)   *  S15               )   ),0),"na"),"na")</f>
        <v>0</v>
      </c>
      <c r="T19" s="176" t="s">
        <v>281</v>
      </c>
      <c r="U19" s="179">
        <f>IF(U13&gt;0,IF(U14&gt;0,     IF(U15&gt;0,   0.001*(       ((U17-Q17)/U15) * ((U17-Q17)/U15)   *  U15                  ),0),"na"),"na")</f>
        <v>0.36842118030623533</v>
      </c>
      <c r="V19" s="249"/>
      <c r="W19" s="175"/>
      <c r="X19" s="253"/>
      <c r="Y19" s="253"/>
      <c r="Z19" s="253"/>
      <c r="AA19" s="253"/>
      <c r="AB19" s="253"/>
      <c r="AC19" s="253"/>
      <c r="AD19" s="253"/>
      <c r="AE19" s="253"/>
      <c r="AF19" s="253"/>
      <c r="AG19" s="253"/>
      <c r="AH19" s="253"/>
      <c r="AI19" s="253"/>
      <c r="AJ19" s="253"/>
      <c r="AK19" s="253"/>
      <c r="AL19" s="253"/>
      <c r="AM19" s="253"/>
      <c r="AN19" s="253"/>
      <c r="AO19" s="175"/>
    </row>
    <row r="20" spans="1:41" ht="15">
      <c r="A20" s="128" t="s">
        <v>132</v>
      </c>
      <c r="B20" s="113" t="s">
        <v>161</v>
      </c>
      <c r="C20" s="117">
        <v>0.5</v>
      </c>
      <c r="D20" s="109"/>
      <c r="E20" s="110"/>
      <c r="F20" s="106"/>
      <c r="G20" s="250"/>
      <c r="H20" s="175"/>
      <c r="I20" s="175"/>
      <c r="J20" s="175"/>
      <c r="K20" s="175"/>
      <c r="L20" s="175"/>
      <c r="M20" s="175"/>
      <c r="N20" s="249"/>
      <c r="O20" s="250"/>
      <c r="P20" s="175"/>
      <c r="Q20" s="175"/>
      <c r="R20" s="175"/>
      <c r="S20" s="175"/>
      <c r="T20" s="175"/>
      <c r="U20" s="175"/>
      <c r="V20" s="249"/>
      <c r="W20" s="175"/>
      <c r="X20" s="253"/>
      <c r="Y20" s="253"/>
      <c r="Z20" s="253"/>
      <c r="AA20" s="253"/>
      <c r="AB20" s="253"/>
      <c r="AC20" s="253"/>
      <c r="AD20" s="253"/>
      <c r="AE20" s="253"/>
      <c r="AF20" s="253"/>
      <c r="AG20" s="253"/>
      <c r="AH20" s="253"/>
      <c r="AI20" s="253"/>
      <c r="AJ20" s="253"/>
      <c r="AK20" s="253"/>
      <c r="AL20" s="253"/>
      <c r="AM20" s="253"/>
      <c r="AN20" s="253"/>
      <c r="AO20" s="175"/>
    </row>
    <row r="21" spans="1:41" ht="15.75" thickBot="1">
      <c r="A21" s="128"/>
      <c r="B21" s="113"/>
      <c r="C21" s="118"/>
      <c r="D21" s="109"/>
      <c r="E21" s="110"/>
      <c r="F21" s="106"/>
      <c r="G21" s="257"/>
      <c r="H21" s="258"/>
      <c r="I21" s="258"/>
      <c r="J21" s="258"/>
      <c r="K21" s="258"/>
      <c r="L21" s="258"/>
      <c r="M21" s="258"/>
      <c r="N21" s="259"/>
      <c r="O21" s="257"/>
      <c r="P21" s="258"/>
      <c r="Q21" s="258"/>
      <c r="R21" s="258"/>
      <c r="S21" s="258"/>
      <c r="T21" s="258"/>
      <c r="U21" s="258"/>
      <c r="V21" s="259"/>
      <c r="W21" s="175"/>
      <c r="X21" s="253"/>
      <c r="Y21" s="253"/>
      <c r="Z21" s="253"/>
      <c r="AA21" s="253"/>
      <c r="AB21" s="253"/>
      <c r="AC21" s="253"/>
      <c r="AD21" s="253"/>
      <c r="AE21" s="253"/>
      <c r="AF21" s="253"/>
      <c r="AG21" s="253"/>
      <c r="AH21" s="253"/>
      <c r="AI21" s="253"/>
      <c r="AJ21" s="253"/>
      <c r="AK21" s="253"/>
      <c r="AL21" s="253"/>
      <c r="AM21" s="253"/>
      <c r="AN21" s="253"/>
      <c r="AO21" s="175"/>
    </row>
    <row r="22" spans="1:41" ht="28.5">
      <c r="A22" s="128" t="s">
        <v>130</v>
      </c>
      <c r="B22" s="113" t="s">
        <v>162</v>
      </c>
      <c r="C22" s="117">
        <v>0.45</v>
      </c>
      <c r="D22" s="109"/>
      <c r="E22" s="110" t="str">
        <f>IF(SUM(C22+C23+C25+C26)*8/C9&gt;1,"Data Bus utilization is too high","")</f>
        <v/>
      </c>
      <c r="F22" s="106"/>
      <c r="G22" s="175"/>
      <c r="H22" s="175"/>
      <c r="I22" s="175"/>
      <c r="J22" s="175"/>
      <c r="K22" s="175"/>
      <c r="L22" s="175"/>
      <c r="M22" s="175" t="s">
        <v>259</v>
      </c>
      <c r="N22" s="175"/>
      <c r="O22" s="175"/>
      <c r="P22" s="175"/>
      <c r="Q22" s="175"/>
      <c r="R22" s="175"/>
      <c r="S22" s="175"/>
      <c r="W22" s="175"/>
      <c r="X22" s="253"/>
      <c r="Y22" s="253"/>
      <c r="Z22" s="253"/>
      <c r="AA22" s="253"/>
      <c r="AB22" s="253"/>
      <c r="AC22" s="253"/>
      <c r="AD22" s="253"/>
      <c r="AE22" s="253"/>
      <c r="AF22" s="253"/>
      <c r="AG22" s="253"/>
      <c r="AH22" s="253"/>
      <c r="AI22" s="253"/>
      <c r="AJ22" s="253"/>
      <c r="AK22" s="253"/>
      <c r="AL22" s="253"/>
      <c r="AM22" s="253"/>
      <c r="AN22" s="253"/>
      <c r="AO22" s="175"/>
    </row>
    <row r="23" spans="1:41" ht="28.5">
      <c r="A23" s="128" t="s">
        <v>131</v>
      </c>
      <c r="B23" s="113" t="s">
        <v>163</v>
      </c>
      <c r="C23" s="117">
        <v>0.25</v>
      </c>
      <c r="D23" s="109"/>
      <c r="E23" s="116"/>
      <c r="F23" s="106"/>
      <c r="G23" s="175"/>
      <c r="H23" s="175"/>
      <c r="I23" s="175"/>
      <c r="J23" s="175"/>
      <c r="K23" s="175"/>
      <c r="L23" s="175"/>
      <c r="M23" s="175"/>
      <c r="N23" s="175"/>
      <c r="O23" s="175"/>
      <c r="P23" s="175"/>
      <c r="Q23" s="175"/>
      <c r="R23" s="175"/>
      <c r="S23" s="175"/>
      <c r="W23" s="175"/>
      <c r="X23" s="253"/>
      <c r="Y23" s="253"/>
      <c r="Z23" s="253"/>
      <c r="AA23" s="253"/>
      <c r="AB23" s="253"/>
      <c r="AC23" s="253"/>
      <c r="AD23" s="253"/>
      <c r="AE23" s="253"/>
      <c r="AF23" s="253"/>
      <c r="AG23" s="253"/>
      <c r="AH23" s="253"/>
      <c r="AI23" s="253"/>
      <c r="AJ23" s="253"/>
      <c r="AK23" s="253"/>
      <c r="AL23" s="253"/>
      <c r="AM23" s="253"/>
      <c r="AN23" s="253"/>
      <c r="AO23" s="175"/>
    </row>
    <row r="24" spans="1:41" ht="15">
      <c r="A24" s="128"/>
      <c r="B24" s="119"/>
      <c r="C24" s="185">
        <f>C22/(C23+C22)</f>
        <v>0.6428571428571429</v>
      </c>
      <c r="D24" s="109"/>
      <c r="E24" s="116" t="s">
        <v>303</v>
      </c>
      <c r="F24" s="106"/>
      <c r="G24" s="175"/>
      <c r="H24" s="175"/>
      <c r="I24" s="175"/>
      <c r="J24" s="175"/>
      <c r="K24" s="175"/>
      <c r="L24" s="175"/>
      <c r="M24" s="175"/>
      <c r="N24" s="175"/>
      <c r="O24" s="175"/>
      <c r="P24" s="175"/>
      <c r="Q24" s="175"/>
      <c r="R24" s="175"/>
      <c r="S24" s="175"/>
      <c r="W24" s="175"/>
      <c r="X24" s="253"/>
      <c r="Y24" s="253"/>
      <c r="Z24" s="253"/>
      <c r="AA24" s="253"/>
      <c r="AB24" s="253"/>
      <c r="AC24" s="253"/>
      <c r="AD24" s="253"/>
      <c r="AE24" s="253"/>
      <c r="AF24" s="253"/>
      <c r="AG24" s="253"/>
      <c r="AH24" s="253"/>
      <c r="AI24" s="253"/>
      <c r="AJ24" s="253"/>
      <c r="AK24" s="253"/>
      <c r="AL24" s="253"/>
      <c r="AM24" s="253"/>
      <c r="AN24" s="253"/>
      <c r="AO24" s="175"/>
    </row>
    <row r="25" spans="1:41" ht="28.5">
      <c r="A25" s="128" t="s">
        <v>133</v>
      </c>
      <c r="B25" s="113" t="s">
        <v>30</v>
      </c>
      <c r="C25" s="117">
        <v>0</v>
      </c>
      <c r="D25" s="109"/>
      <c r="E25" s="116" t="s">
        <v>202</v>
      </c>
      <c r="F25" s="106"/>
      <c r="G25" s="175"/>
      <c r="H25" s="175"/>
      <c r="I25" s="175"/>
      <c r="J25" s="175"/>
      <c r="K25" s="175"/>
      <c r="L25" s="175"/>
      <c r="M25" s="175"/>
      <c r="N25" s="175"/>
      <c r="O25" s="175"/>
      <c r="P25" s="175"/>
      <c r="Q25" s="175"/>
      <c r="R25" s="175"/>
      <c r="S25" s="175"/>
      <c r="W25" s="175"/>
      <c r="X25" s="253"/>
      <c r="Y25" s="253"/>
      <c r="Z25" s="253"/>
      <c r="AA25" s="253"/>
      <c r="AB25" s="253"/>
      <c r="AC25" s="253"/>
      <c r="AD25" s="253"/>
      <c r="AE25" s="253"/>
      <c r="AF25" s="253"/>
      <c r="AG25" s="253"/>
      <c r="AH25" s="253"/>
      <c r="AI25" s="253"/>
      <c r="AJ25" s="253"/>
      <c r="AK25" s="253"/>
      <c r="AL25" s="253"/>
      <c r="AM25" s="253"/>
      <c r="AN25" s="253"/>
      <c r="AO25" s="175"/>
    </row>
    <row r="26" spans="1:41" ht="28.5">
      <c r="A26" s="128" t="s">
        <v>134</v>
      </c>
      <c r="B26" s="113" t="s">
        <v>29</v>
      </c>
      <c r="C26" s="117">
        <v>0</v>
      </c>
      <c r="D26" s="109"/>
      <c r="E26" s="116" t="s">
        <v>202</v>
      </c>
      <c r="F26" s="106"/>
      <c r="G26" s="175"/>
      <c r="H26" s="175"/>
      <c r="I26" s="175"/>
      <c r="J26" s="175"/>
      <c r="K26" s="175"/>
      <c r="L26" s="175"/>
      <c r="M26" s="175"/>
      <c r="N26" s="175"/>
      <c r="O26" s="175"/>
      <c r="P26" s="175"/>
      <c r="Q26" s="175"/>
      <c r="R26" s="175"/>
      <c r="S26" s="175"/>
      <c r="W26" s="175"/>
      <c r="X26" s="253"/>
      <c r="Y26" s="253"/>
      <c r="Z26" s="253"/>
      <c r="AA26" s="253"/>
      <c r="AB26" s="253"/>
      <c r="AC26" s="253"/>
      <c r="AD26" s="253"/>
      <c r="AE26" s="253"/>
      <c r="AF26" s="253"/>
      <c r="AG26" s="253"/>
      <c r="AH26" s="253"/>
      <c r="AI26" s="253"/>
      <c r="AJ26" s="253"/>
      <c r="AK26" s="253"/>
      <c r="AL26" s="253"/>
      <c r="AM26" s="253"/>
      <c r="AN26" s="253"/>
      <c r="AO26" s="175"/>
    </row>
    <row r="27" spans="1:41" ht="14.25">
      <c r="A27" s="128"/>
      <c r="B27" s="113"/>
      <c r="C27" s="120"/>
      <c r="D27" s="109"/>
      <c r="E27" s="116"/>
      <c r="F27" s="106"/>
      <c r="G27" s="175"/>
      <c r="H27" s="175"/>
      <c r="I27" s="175"/>
      <c r="J27" s="175"/>
      <c r="K27" s="175"/>
      <c r="L27" s="175"/>
      <c r="M27" s="175"/>
      <c r="N27" s="175"/>
      <c r="O27" s="175"/>
      <c r="P27" s="175"/>
      <c r="Q27" s="175"/>
      <c r="R27" s="175"/>
      <c r="S27" s="175"/>
      <c r="W27" s="175"/>
      <c r="X27" s="253"/>
      <c r="Y27" s="253"/>
      <c r="Z27" s="253"/>
      <c r="AA27" s="253"/>
      <c r="AB27" s="253"/>
      <c r="AC27" s="253"/>
      <c r="AD27" s="253"/>
      <c r="AE27" s="253"/>
      <c r="AF27" s="253"/>
      <c r="AG27" s="253"/>
      <c r="AH27" s="253"/>
      <c r="AI27" s="253"/>
      <c r="AJ27" s="253"/>
      <c r="AK27" s="253"/>
      <c r="AL27" s="253"/>
      <c r="AM27" s="253"/>
      <c r="AN27" s="253"/>
      <c r="AO27" s="175"/>
    </row>
    <row r="28" spans="1:41" ht="43.5" thickBot="1">
      <c r="A28" s="138" t="s">
        <v>205</v>
      </c>
      <c r="B28" s="121" t="s">
        <v>79</v>
      </c>
      <c r="C28" s="122">
        <f>INT(C40*10000/C8)/10</f>
        <v>14.2</v>
      </c>
      <c r="D28" s="123" t="s">
        <v>37</v>
      </c>
      <c r="E28" s="110" t="str">
        <f>IF(C$28&lt;'DDR3 Config'!C$31,"ERROR, Must be greater the tRRD","")</f>
        <v/>
      </c>
      <c r="F28" s="106" t="s">
        <v>259</v>
      </c>
      <c r="G28" s="175"/>
      <c r="H28" s="175"/>
      <c r="I28" s="175"/>
      <c r="J28" s="175"/>
      <c r="K28" s="175"/>
      <c r="L28" s="175"/>
      <c r="M28" s="175"/>
      <c r="N28" s="175"/>
      <c r="O28" s="175" t="s">
        <v>259</v>
      </c>
      <c r="P28" s="175"/>
      <c r="Q28" s="175"/>
      <c r="R28" s="175"/>
      <c r="S28" s="175"/>
      <c r="W28" s="175"/>
      <c r="X28" s="253"/>
      <c r="Y28" s="253"/>
      <c r="Z28" s="253"/>
      <c r="AA28" s="253"/>
      <c r="AB28" s="253"/>
      <c r="AC28" s="253"/>
      <c r="AD28" s="253"/>
      <c r="AE28" s="253"/>
      <c r="AF28" s="253"/>
      <c r="AG28" s="253"/>
      <c r="AH28" s="253"/>
      <c r="AI28" s="253"/>
      <c r="AJ28" s="253"/>
      <c r="AK28" s="253"/>
      <c r="AL28" s="253"/>
      <c r="AM28" s="253"/>
      <c r="AN28" s="253"/>
      <c r="AO28" s="175"/>
    </row>
    <row r="29" spans="1:41" ht="43.5" thickBot="1">
      <c r="B29" s="124"/>
      <c r="C29" s="124"/>
      <c r="D29" s="125"/>
      <c r="E29" s="165" t="s">
        <v>304</v>
      </c>
      <c r="F29" s="126"/>
      <c r="G29" s="175"/>
      <c r="H29" s="175"/>
      <c r="I29" s="175"/>
      <c r="J29" s="175"/>
      <c r="K29" s="175"/>
      <c r="L29" s="175"/>
      <c r="M29" s="175"/>
      <c r="N29" s="175"/>
      <c r="O29" s="175"/>
      <c r="P29" s="175"/>
      <c r="Q29" s="175"/>
      <c r="R29" s="175"/>
      <c r="S29" s="175"/>
      <c r="W29" s="175"/>
      <c r="X29" s="253"/>
      <c r="Y29" s="253"/>
      <c r="Z29" s="253"/>
      <c r="AA29" s="253"/>
      <c r="AB29" s="253"/>
      <c r="AC29" s="253"/>
      <c r="AD29" s="253"/>
      <c r="AE29" s="253"/>
      <c r="AF29" s="253"/>
      <c r="AG29" s="253"/>
      <c r="AH29" s="253"/>
      <c r="AI29" s="253"/>
      <c r="AJ29" s="253"/>
      <c r="AK29" s="253"/>
      <c r="AL29" s="253"/>
      <c r="AM29" s="253"/>
      <c r="AN29" s="253"/>
      <c r="AO29" s="175"/>
    </row>
    <row r="30" spans="1:41" ht="13.5" hidden="1" thickBot="1">
      <c r="G30" s="175"/>
      <c r="H30" s="175"/>
      <c r="I30" s="175"/>
      <c r="J30" s="175"/>
      <c r="K30" s="175"/>
      <c r="L30" s="175"/>
      <c r="M30" s="175"/>
      <c r="N30" s="175"/>
      <c r="O30" s="175"/>
      <c r="P30" s="175"/>
      <c r="Q30" s="175"/>
      <c r="R30" s="175"/>
      <c r="S30" s="175"/>
      <c r="W30" s="175"/>
      <c r="X30" s="253"/>
      <c r="Y30" s="253"/>
      <c r="Z30" s="253"/>
      <c r="AA30" s="253"/>
      <c r="AB30" s="253"/>
      <c r="AC30" s="253"/>
      <c r="AD30" s="253"/>
      <c r="AE30" s="253"/>
      <c r="AF30" s="253"/>
      <c r="AG30" s="253"/>
      <c r="AH30" s="253"/>
      <c r="AI30" s="253"/>
      <c r="AJ30" s="253"/>
      <c r="AK30" s="253"/>
      <c r="AL30" s="253"/>
      <c r="AM30" s="253"/>
      <c r="AN30" s="253"/>
      <c r="AO30" s="175"/>
    </row>
    <row r="31" spans="1:41" ht="24" hidden="1" customHeight="1">
      <c r="G31" s="175"/>
      <c r="H31" s="175"/>
      <c r="I31" s="175"/>
      <c r="J31" s="175"/>
      <c r="K31" s="175"/>
      <c r="L31" s="175"/>
      <c r="M31" s="175"/>
      <c r="N31" s="175"/>
      <c r="O31" s="175"/>
      <c r="P31" s="175"/>
      <c r="Q31" s="175"/>
      <c r="R31" s="175"/>
      <c r="S31" s="175"/>
      <c r="W31" s="175"/>
      <c r="X31" s="253"/>
      <c r="Y31" s="253"/>
      <c r="Z31" s="253"/>
      <c r="AA31" s="253"/>
      <c r="AB31" s="253"/>
      <c r="AC31" s="253"/>
      <c r="AD31" s="253"/>
      <c r="AE31" s="253"/>
      <c r="AF31" s="253"/>
      <c r="AG31" s="253"/>
      <c r="AH31" s="253"/>
      <c r="AI31" s="253"/>
      <c r="AJ31" s="253"/>
      <c r="AK31" s="253"/>
      <c r="AL31" s="253"/>
      <c r="AM31" s="253"/>
      <c r="AN31" s="253"/>
      <c r="AO31" s="175"/>
    </row>
    <row r="32" spans="1:41" ht="26.25" hidden="1" customHeight="1">
      <c r="G32" s="175"/>
      <c r="H32" s="175"/>
      <c r="I32" s="175"/>
      <c r="J32" s="175"/>
      <c r="K32" s="175"/>
      <c r="L32" s="175"/>
      <c r="M32" s="175"/>
      <c r="N32" s="175"/>
      <c r="O32" s="175"/>
      <c r="P32" s="175"/>
      <c r="Q32" s="175"/>
      <c r="R32" s="175"/>
      <c r="S32" s="175"/>
      <c r="W32" s="175"/>
      <c r="X32" s="253"/>
      <c r="Y32" s="253"/>
      <c r="Z32" s="253"/>
      <c r="AA32" s="253"/>
      <c r="AB32" s="253"/>
      <c r="AC32" s="253"/>
      <c r="AD32" s="253"/>
      <c r="AE32" s="253"/>
      <c r="AF32" s="253"/>
      <c r="AG32" s="253"/>
      <c r="AH32" s="253"/>
      <c r="AI32" s="253"/>
      <c r="AJ32" s="253"/>
      <c r="AK32" s="253"/>
      <c r="AL32" s="253"/>
      <c r="AM32" s="253"/>
      <c r="AN32" s="253"/>
      <c r="AO32" s="175"/>
    </row>
    <row r="33" spans="2:41" ht="13.5" hidden="1" thickBot="1">
      <c r="B33" s="30"/>
      <c r="C33" s="30"/>
      <c r="D33" s="31"/>
      <c r="E33" s="30"/>
      <c r="G33" s="175"/>
      <c r="H33" s="175"/>
      <c r="I33" s="175"/>
      <c r="J33" s="175"/>
      <c r="K33" s="175"/>
      <c r="L33" s="175"/>
      <c r="M33" s="175"/>
      <c r="N33" s="175"/>
      <c r="O33" s="175"/>
      <c r="P33" s="175"/>
      <c r="Q33" s="175"/>
      <c r="R33" s="175"/>
      <c r="S33" s="175"/>
      <c r="W33" s="175"/>
      <c r="X33" s="253"/>
      <c r="Y33" s="253"/>
      <c r="Z33" s="253"/>
      <c r="AA33" s="253"/>
      <c r="AB33" s="253"/>
      <c r="AC33" s="253"/>
      <c r="AD33" s="253"/>
      <c r="AE33" s="253"/>
      <c r="AF33" s="253"/>
      <c r="AG33" s="253"/>
      <c r="AH33" s="253"/>
      <c r="AI33" s="253"/>
      <c r="AJ33" s="253"/>
      <c r="AK33" s="253"/>
      <c r="AL33" s="253"/>
      <c r="AM33" s="253"/>
      <c r="AN33" s="253"/>
      <c r="AO33" s="175"/>
    </row>
    <row r="34" spans="2:41" ht="13.5" hidden="1" thickBot="1">
      <c r="B34" s="30"/>
      <c r="C34" s="30"/>
      <c r="D34" s="31"/>
      <c r="E34" s="30"/>
      <c r="G34" s="175"/>
      <c r="H34" s="175"/>
      <c r="I34" s="175"/>
      <c r="J34" s="175"/>
      <c r="K34" s="175"/>
      <c r="L34" s="175"/>
      <c r="M34" s="175"/>
      <c r="N34" s="175"/>
      <c r="O34" s="175"/>
      <c r="P34" s="175"/>
      <c r="Q34" s="175"/>
      <c r="R34" s="175"/>
      <c r="S34" s="175"/>
      <c r="W34" s="175"/>
      <c r="X34" s="253"/>
      <c r="Y34" s="253"/>
      <c r="Z34" s="253"/>
      <c r="AA34" s="253"/>
      <c r="AB34" s="253"/>
      <c r="AC34" s="253"/>
      <c r="AD34" s="253"/>
      <c r="AE34" s="253"/>
      <c r="AF34" s="253"/>
      <c r="AG34" s="253"/>
      <c r="AH34" s="253"/>
      <c r="AI34" s="253"/>
      <c r="AJ34" s="253"/>
      <c r="AK34" s="253"/>
      <c r="AL34" s="253"/>
      <c r="AM34" s="253"/>
      <c r="AN34" s="253"/>
      <c r="AO34" s="175"/>
    </row>
    <row r="35" spans="2:41" ht="40.5" customHeight="1" thickBot="1">
      <c r="B35" s="289" t="s">
        <v>61</v>
      </c>
      <c r="C35" s="290"/>
      <c r="D35" s="31"/>
      <c r="E35" s="30"/>
      <c r="G35" s="175"/>
      <c r="H35" s="175"/>
      <c r="I35" s="175" t="s">
        <v>259</v>
      </c>
      <c r="J35" s="175"/>
      <c r="K35" s="175"/>
      <c r="L35" s="175"/>
      <c r="M35" s="175"/>
      <c r="N35" s="175"/>
      <c r="O35" s="175"/>
      <c r="P35" s="175"/>
      <c r="Q35" s="175"/>
      <c r="R35" s="175"/>
      <c r="S35" s="175"/>
      <c r="AF35" s="175"/>
      <c r="AG35" s="175"/>
      <c r="AH35" s="175"/>
      <c r="AI35" s="175"/>
      <c r="AJ35" s="175"/>
      <c r="AK35" s="175"/>
      <c r="AL35" s="175"/>
      <c r="AM35" s="253"/>
      <c r="AN35" s="253"/>
      <c r="AO35" s="175"/>
    </row>
    <row r="36" spans="2:41" ht="40.5" customHeight="1" thickBot="1">
      <c r="B36" s="287" t="s">
        <v>325</v>
      </c>
      <c r="C36" s="288"/>
      <c r="I36" s="166" t="s">
        <v>259</v>
      </c>
      <c r="AF36" s="175"/>
      <c r="AG36" s="175"/>
      <c r="AH36" s="175"/>
      <c r="AI36" s="175"/>
      <c r="AJ36" s="175"/>
      <c r="AK36" s="175"/>
      <c r="AL36" s="175"/>
      <c r="AM36" s="175"/>
      <c r="AN36" s="175"/>
      <c r="AO36" s="175"/>
    </row>
    <row r="37" spans="2:41" ht="15.75" customHeight="1">
      <c r="AM37" s="175"/>
      <c r="AN37" s="175"/>
      <c r="AO37" s="175"/>
    </row>
    <row r="38" spans="2:41" ht="18" hidden="1" customHeight="1"/>
    <row r="39" spans="2:41" ht="18" hidden="1" customHeight="1">
      <c r="B39" s="166" t="s">
        <v>65</v>
      </c>
      <c r="C39" s="166">
        <f>C9/2/(C23+C22)</f>
        <v>5.7142857142857144</v>
      </c>
    </row>
    <row r="40" spans="2:41" ht="18" hidden="1" customHeight="1">
      <c r="B40" s="166" t="s">
        <v>66</v>
      </c>
      <c r="C40" s="166">
        <f>C39/(1-C20)</f>
        <v>11.428571428571429</v>
      </c>
    </row>
    <row r="41" spans="2:41" ht="18" hidden="1" customHeight="1"/>
    <row r="42" spans="2:41" ht="18" hidden="1" customHeight="1"/>
    <row r="43" spans="2:41" ht="18" hidden="1" customHeight="1"/>
    <row r="44" spans="2:41" ht="18" hidden="1" customHeight="1"/>
    <row r="45" spans="2:41" ht="15.75" customHeight="1"/>
  </sheetData>
  <mergeCells count="6">
    <mergeCell ref="B36:C36"/>
    <mergeCell ref="B35:C35"/>
    <mergeCell ref="G4:N4"/>
    <mergeCell ref="O4:V4"/>
    <mergeCell ref="E11:E12"/>
    <mergeCell ref="E13:E14"/>
  </mergeCells>
  <phoneticPr fontId="0" type="noConversion"/>
  <printOptions horizontalCentered="1"/>
  <pageMargins left="0.25" right="0.25" top="0.25" bottom="0.25" header="0.5" footer="0.5"/>
  <pageSetup scale="9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M36"/>
  <sheetViews>
    <sheetView showGridLines="0" tabSelected="1" topLeftCell="A5" workbookViewId="0">
      <selection activeCell="G16" sqref="G16"/>
    </sheetView>
  </sheetViews>
  <sheetFormatPr defaultRowHeight="12.75"/>
  <cols>
    <col min="1" max="1" width="46" style="4" customWidth="1"/>
    <col min="2" max="2" width="16.7109375" style="4" customWidth="1"/>
    <col min="3" max="3" width="7.7109375" style="4" customWidth="1"/>
    <col min="4" max="4" width="5.7109375" style="34" customWidth="1"/>
    <col min="5" max="5" width="3.140625" style="4" customWidth="1"/>
    <col min="6" max="6" width="16.7109375" style="4" customWidth="1"/>
    <col min="7" max="7" width="7.7109375" style="4" customWidth="1"/>
    <col min="8" max="8" width="5.7109375" style="34" customWidth="1"/>
    <col min="9" max="9" width="3.140625" style="4" customWidth="1"/>
    <col min="10" max="10" width="16.7109375" style="4" customWidth="1"/>
    <col min="11" max="11" width="10.28515625" style="4" customWidth="1"/>
    <col min="12" max="12" width="5.7109375" style="34" customWidth="1"/>
    <col min="13" max="16384" width="9.140625" style="4"/>
  </cols>
  <sheetData>
    <row r="1" spans="1:13">
      <c r="A1" s="28"/>
    </row>
    <row r="5" spans="1:13" ht="24.75" customHeight="1">
      <c r="A5" s="151" t="str">
        <f>CONCATENATE("System Derating for ",C33," DDR3 SDRAM (x",C34,", ",C35," Speed Grade)")</f>
        <v>System Derating for 2Gb DDR3 SDRAM (x16, -093E Speed Grade)</v>
      </c>
      <c r="B5" s="151"/>
      <c r="C5" s="151"/>
      <c r="D5" s="151"/>
      <c r="E5" s="151"/>
      <c r="F5" s="151"/>
      <c r="G5" s="151"/>
      <c r="H5" s="151"/>
      <c r="I5" s="151"/>
      <c r="J5" s="151"/>
      <c r="K5" s="151"/>
      <c r="L5" s="151"/>
    </row>
    <row r="6" spans="1:13">
      <c r="A6" s="20"/>
      <c r="B6" s="20"/>
      <c r="C6" s="20"/>
      <c r="D6" s="142"/>
      <c r="E6" s="20"/>
      <c r="F6" s="20"/>
      <c r="G6" s="20"/>
      <c r="H6" s="142"/>
      <c r="I6" s="20"/>
      <c r="J6" s="20"/>
      <c r="K6" s="20"/>
      <c r="L6" s="142"/>
    </row>
    <row r="7" spans="1:13" ht="27.75" customHeight="1">
      <c r="A7" s="150" t="s">
        <v>243</v>
      </c>
      <c r="B7" s="150"/>
      <c r="C7" s="150"/>
      <c r="D7" s="150"/>
      <c r="E7" s="150"/>
      <c r="F7" s="150"/>
      <c r="G7" s="150"/>
      <c r="H7" s="150"/>
      <c r="I7" s="150"/>
      <c r="J7" s="150"/>
      <c r="K7" s="150"/>
      <c r="L7" s="150"/>
    </row>
    <row r="9" spans="1:13" ht="13.5" thickBot="1"/>
    <row r="10" spans="1:13" s="6" customFormat="1" ht="54.95" customHeight="1" thickBot="1">
      <c r="A10" s="129"/>
      <c r="B10" s="155" t="s">
        <v>311</v>
      </c>
      <c r="C10" s="156"/>
      <c r="D10" s="157"/>
      <c r="E10" s="130"/>
      <c r="F10" s="155" t="s">
        <v>165</v>
      </c>
      <c r="G10" s="156"/>
      <c r="H10" s="157"/>
      <c r="J10" s="155" t="s">
        <v>203</v>
      </c>
      <c r="K10" s="156"/>
      <c r="L10" s="157"/>
    </row>
    <row r="11" spans="1:13" ht="25.5" customHeight="1">
      <c r="A11" s="131" t="s">
        <v>80</v>
      </c>
      <c r="B11" s="188" t="s">
        <v>67</v>
      </c>
      <c r="C11" s="189">
        <f>+'DDR3 Config'!C22*'DDR3 Config'!C$15</f>
        <v>78.75</v>
      </c>
      <c r="D11" s="190" t="s">
        <v>10</v>
      </c>
      <c r="E11" s="132"/>
      <c r="F11" s="58" t="s">
        <v>118</v>
      </c>
      <c r="G11" s="60">
        <f>C11*'System Config'!C16*'System Config'!C17</f>
        <v>3.5437499999999997</v>
      </c>
      <c r="H11" s="143" t="s">
        <v>10</v>
      </c>
      <c r="I11" s="65"/>
      <c r="J11" s="58" t="s">
        <v>106</v>
      </c>
      <c r="K11" s="60">
        <f>+G11*('System Config'!C$7/'DDR3 Config'!C$15)^2*IF('DDR3 Config'!I1=2,'System Config'!C$8/1000*'DDR3 Config'!C$30,1)</f>
        <v>2.4119999999999999</v>
      </c>
      <c r="L11" s="143" t="s">
        <v>10</v>
      </c>
      <c r="M11" s="20"/>
    </row>
    <row r="12" spans="1:13" ht="25.5" customHeight="1">
      <c r="A12" s="133" t="s">
        <v>81</v>
      </c>
      <c r="B12" s="188" t="s">
        <v>68</v>
      </c>
      <c r="C12" s="189">
        <f>+'DDR3 Config'!C23*'DDR3 Config'!C$15</f>
        <v>81.899999999999991</v>
      </c>
      <c r="D12" s="190" t="s">
        <v>10</v>
      </c>
      <c r="E12" s="132"/>
      <c r="F12" s="58" t="s">
        <v>119</v>
      </c>
      <c r="G12" s="60">
        <f>C12*'System Config'!C16*(1-'System Config'!C17)</f>
        <v>20.884499999999996</v>
      </c>
      <c r="H12" s="143" t="s">
        <v>10</v>
      </c>
      <c r="I12" s="65"/>
      <c r="J12" s="58" t="s">
        <v>107</v>
      </c>
      <c r="K12" s="60">
        <f>+G12*('System Config'!C$7/'DDR3 Config'!C$15)^2*'System Config'!C$8/1000*'DDR3 Config'!C$30</f>
        <v>14.214719999999998</v>
      </c>
      <c r="L12" s="143" t="s">
        <v>10</v>
      </c>
      <c r="M12" s="20"/>
    </row>
    <row r="13" spans="1:13" ht="25.5" customHeight="1">
      <c r="A13" s="133" t="s">
        <v>4</v>
      </c>
      <c r="B13" s="188" t="s">
        <v>69</v>
      </c>
      <c r="C13" s="189">
        <f>+'DDR3 Config'!C24*'DDR3 Config'!C$15</f>
        <v>86.625</v>
      </c>
      <c r="D13" s="190" t="s">
        <v>10</v>
      </c>
      <c r="E13" s="132"/>
      <c r="F13" s="58" t="s">
        <v>120</v>
      </c>
      <c r="G13" s="60">
        <f>C13*(1-'System Config'!C16)*'System Config'!C18</f>
        <v>9.0956249999999983</v>
      </c>
      <c r="H13" s="143" t="s">
        <v>10</v>
      </c>
      <c r="I13" s="65"/>
      <c r="J13" s="58" t="s">
        <v>108</v>
      </c>
      <c r="K13" s="60">
        <f>+G13*('System Config'!C$7/'DDR3 Config'!C$15)^2*'System Config'!C$8/1000*'DDR3 Config'!C$30</f>
        <v>6.1907999999999994</v>
      </c>
      <c r="L13" s="143" t="s">
        <v>10</v>
      </c>
      <c r="M13" s="20"/>
    </row>
    <row r="14" spans="1:13" ht="25.5" customHeight="1">
      <c r="A14" s="133" t="s">
        <v>82</v>
      </c>
      <c r="B14" s="188" t="s">
        <v>70</v>
      </c>
      <c r="C14" s="189">
        <f>+'DDR3 Config'!C25*'DDR3 Config'!C$15</f>
        <v>86.625</v>
      </c>
      <c r="D14" s="190" t="s">
        <v>10</v>
      </c>
      <c r="E14" s="132"/>
      <c r="F14" s="58" t="s">
        <v>121</v>
      </c>
      <c r="G14" s="60">
        <f>C14*(1-'System Config'!C16)*(1-'System Config'!C18)</f>
        <v>51.541874999999997</v>
      </c>
      <c r="H14" s="143" t="s">
        <v>10</v>
      </c>
      <c r="I14" s="65"/>
      <c r="J14" s="58" t="s">
        <v>109</v>
      </c>
      <c r="K14" s="60">
        <f>+G14*('System Config'!C$7/'DDR3 Config'!C$15)^2*'System Config'!C$8/1000*'DDR3 Config'!C$30</f>
        <v>35.081200000000003</v>
      </c>
      <c r="L14" s="143" t="s">
        <v>10</v>
      </c>
      <c r="M14" s="20"/>
    </row>
    <row r="15" spans="1:13" ht="25.5" customHeight="1">
      <c r="A15" s="133" t="s">
        <v>18</v>
      </c>
      <c r="B15" s="188" t="s">
        <v>71</v>
      </c>
      <c r="C15" s="189">
        <f>('DDR3 Config'!C28-'DDR3 Config'!C25)*'DDR3 Config'!C34/'DDR3 Config'!C35/1000*'DDR3 Config'!C15</f>
        <v>5.6538461538461542</v>
      </c>
      <c r="D15" s="190" t="s">
        <v>10</v>
      </c>
      <c r="E15" s="132"/>
      <c r="F15" s="58" t="s">
        <v>122</v>
      </c>
      <c r="G15" s="60">
        <f>C15</f>
        <v>5.6538461538461542</v>
      </c>
      <c r="H15" s="143" t="s">
        <v>10</v>
      </c>
      <c r="I15" s="65"/>
      <c r="J15" s="58" t="s">
        <v>110</v>
      </c>
      <c r="K15" s="60">
        <f>+G15*('System Config'!C$7/'DDR3 Config'!C$15)^2</f>
        <v>5.1282051282051295</v>
      </c>
      <c r="L15" s="143" t="s">
        <v>10</v>
      </c>
      <c r="M15" s="20"/>
    </row>
    <row r="16" spans="1:13" ht="25.5" customHeight="1">
      <c r="A16" s="133" t="s">
        <v>17</v>
      </c>
      <c r="B16" s="188" t="s">
        <v>72</v>
      </c>
      <c r="C16" s="189">
        <f>+('DDR3 Config'!C21-('DDR3 Config'!C25*'DDR3 Config'!C33/'DDR3 Config'!C32+'DDR3 Config'!C23*('DDR3 Config'!C32-'DDR3 Config'!C33)/'DDR3 Config'!C32))*'DDR3 Config'!C$15</f>
        <v>126.95797530727495</v>
      </c>
      <c r="D16" s="190" t="s">
        <v>10</v>
      </c>
      <c r="E16" s="132"/>
      <c r="F16" s="58" t="s">
        <v>123</v>
      </c>
      <c r="G16" s="60">
        <f>+C16*'DDR3 Config'!C32/'System Config'!C28</f>
        <v>403.71742077464796</v>
      </c>
      <c r="H16" s="143" t="s">
        <v>10</v>
      </c>
      <c r="I16" s="65"/>
      <c r="J16" s="58" t="s">
        <v>111</v>
      </c>
      <c r="K16" s="60">
        <f>+G16*('System Config'!C$7/'DDR3 Config'!C$15)^2</f>
        <v>366.18360160965807</v>
      </c>
      <c r="L16" s="143" t="s">
        <v>10</v>
      </c>
      <c r="M16" s="20"/>
    </row>
    <row r="17" spans="1:13" ht="25.5" customHeight="1">
      <c r="A17" s="133" t="s">
        <v>16</v>
      </c>
      <c r="B17" s="188" t="s">
        <v>73</v>
      </c>
      <c r="C17" s="189">
        <f>+('DDR3 Config'!C27-'DDR3 Config'!C$25)*'DDR3 Config'!C$15*8/'System Config'!C9</f>
        <v>464.625</v>
      </c>
      <c r="D17" s="190" t="s">
        <v>10</v>
      </c>
      <c r="E17" s="132"/>
      <c r="F17" s="58" t="s">
        <v>124</v>
      </c>
      <c r="G17" s="60">
        <f>+C17*'System Config'!C23</f>
        <v>116.15625</v>
      </c>
      <c r="H17" s="143" t="s">
        <v>10</v>
      </c>
      <c r="I17" s="65"/>
      <c r="J17" s="58" t="s">
        <v>112</v>
      </c>
      <c r="K17" s="60">
        <f>+G17*('System Config'!C$7/'DDR3 Config'!C$15)^2*'System Config'!C$8/1000*'DDR3 Config'!C$30</f>
        <v>79.060000000000016</v>
      </c>
      <c r="L17" s="143" t="s">
        <v>10</v>
      </c>
      <c r="M17" s="20"/>
    </row>
    <row r="18" spans="1:13" ht="25.5" customHeight="1">
      <c r="A18" s="133" t="s">
        <v>62</v>
      </c>
      <c r="B18" s="188" t="s">
        <v>74</v>
      </c>
      <c r="C18" s="189">
        <f>+('DDR3 Config'!C26-'DDR3 Config'!C$25)*'DDR3 Config'!C$15*8/'System Config'!C9</f>
        <v>417.375</v>
      </c>
      <c r="D18" s="190" t="s">
        <v>10</v>
      </c>
      <c r="E18" s="132"/>
      <c r="F18" s="58" t="s">
        <v>125</v>
      </c>
      <c r="G18" s="60">
        <f>+C18*'System Config'!C22</f>
        <v>187.81874999999999</v>
      </c>
      <c r="H18" s="143" t="s">
        <v>10</v>
      </c>
      <c r="I18" s="65"/>
      <c r="J18" s="58" t="s">
        <v>113</v>
      </c>
      <c r="K18" s="60">
        <f>+G18*('System Config'!C$7/'DDR3 Config'!C$15)^2*'System Config'!C$8/1000*'DDR3 Config'!C$30</f>
        <v>127.83600000000001</v>
      </c>
      <c r="L18" s="143" t="s">
        <v>10</v>
      </c>
      <c r="M18" s="20"/>
    </row>
    <row r="19" spans="1:13" ht="25.5" customHeight="1">
      <c r="A19" s="133" t="s">
        <v>63</v>
      </c>
      <c r="B19" s="188" t="s">
        <v>75</v>
      </c>
      <c r="C19" s="189">
        <f>+('System Config'!C11*('DDR3 Config'!C$8+'DDR3 Config'!C18))</f>
        <v>77.620081644182051</v>
      </c>
      <c r="D19" s="190" t="s">
        <v>10</v>
      </c>
      <c r="E19" s="132"/>
      <c r="F19" s="58" t="s">
        <v>126</v>
      </c>
      <c r="G19" s="60">
        <f>+C19*'System Config'!C22</f>
        <v>34.929036739881923</v>
      </c>
      <c r="H19" s="143" t="s">
        <v>10</v>
      </c>
      <c r="I19" s="65"/>
      <c r="J19" s="58" t="s">
        <v>114</v>
      </c>
      <c r="K19" s="60">
        <f>+G19</f>
        <v>34.929036739881923</v>
      </c>
      <c r="L19" s="143" t="s">
        <v>10</v>
      </c>
      <c r="M19" s="20"/>
    </row>
    <row r="20" spans="1:13" ht="25.5" customHeight="1">
      <c r="A20" s="133" t="s">
        <v>31</v>
      </c>
      <c r="B20" s="188" t="s">
        <v>76</v>
      </c>
      <c r="C20" s="189">
        <f>+('System Config'!C12*('DDR3 Config'!C$8+'DDR3 Config'!C$18+'DDR3 Config'!C$19))</f>
        <v>403.3055718624463</v>
      </c>
      <c r="D20" s="190" t="s">
        <v>10</v>
      </c>
      <c r="E20" s="132"/>
      <c r="F20" s="58" t="s">
        <v>127</v>
      </c>
      <c r="G20" s="60">
        <f>+C20*'System Config'!C23</f>
        <v>100.82639296561157</v>
      </c>
      <c r="H20" s="143" t="s">
        <v>10</v>
      </c>
      <c r="I20" s="65"/>
      <c r="J20" s="58" t="s">
        <v>115</v>
      </c>
      <c r="K20" s="60">
        <f>+G20</f>
        <v>100.82639296561157</v>
      </c>
      <c r="L20" s="143" t="s">
        <v>10</v>
      </c>
      <c r="M20" s="20"/>
    </row>
    <row r="21" spans="1:13" ht="25.5" customHeight="1">
      <c r="A21" s="133" t="s">
        <v>92</v>
      </c>
      <c r="B21" s="188" t="s">
        <v>77</v>
      </c>
      <c r="C21" s="189">
        <f>+('System Config'!C13*('DDR3 Config'!C$8+'DDR3 Config'!C$18))</f>
        <v>262.91217111614725</v>
      </c>
      <c r="D21" s="190" t="s">
        <v>10</v>
      </c>
      <c r="E21" s="132"/>
      <c r="F21" s="58" t="s">
        <v>128</v>
      </c>
      <c r="G21" s="60">
        <f>+C21*'System Config'!C25</f>
        <v>0</v>
      </c>
      <c r="H21" s="143" t="s">
        <v>10</v>
      </c>
      <c r="I21" s="65"/>
      <c r="J21" s="58" t="s">
        <v>116</v>
      </c>
      <c r="K21" s="60">
        <f>+G21</f>
        <v>0</v>
      </c>
      <c r="L21" s="143" t="s">
        <v>10</v>
      </c>
      <c r="M21" s="20"/>
    </row>
    <row r="22" spans="1:13" ht="25.5" customHeight="1" thickBot="1">
      <c r="A22" s="134" t="s">
        <v>34</v>
      </c>
      <c r="B22" s="191" t="s">
        <v>78</v>
      </c>
      <c r="C22" s="192">
        <f>+('System Config'!C14*('DDR3 Config'!C$8+'DDR3 Config'!C$18+'DDR3 Config'!C$19))</f>
        <v>292.85417556133444</v>
      </c>
      <c r="D22" s="193" t="s">
        <v>10</v>
      </c>
      <c r="E22" s="132"/>
      <c r="F22" s="70" t="s">
        <v>129</v>
      </c>
      <c r="G22" s="135">
        <f>+C22*'System Config'!C26</f>
        <v>0</v>
      </c>
      <c r="H22" s="144" t="s">
        <v>10</v>
      </c>
      <c r="I22" s="65"/>
      <c r="J22" s="70" t="s">
        <v>117</v>
      </c>
      <c r="K22" s="135">
        <f>+G22</f>
        <v>0</v>
      </c>
      <c r="L22" s="144" t="s">
        <v>10</v>
      </c>
      <c r="M22" s="20"/>
    </row>
    <row r="23" spans="1:13" ht="13.5" thickBot="1">
      <c r="A23" s="65"/>
      <c r="B23" s="65"/>
      <c r="C23" s="65"/>
      <c r="D23" s="63"/>
      <c r="E23" s="65"/>
      <c r="F23" s="65"/>
      <c r="G23" s="65"/>
      <c r="H23" s="63"/>
      <c r="I23" s="65"/>
      <c r="J23" s="65"/>
      <c r="K23" s="65"/>
      <c r="L23" s="63"/>
    </row>
    <row r="24" spans="1:13" s="5" customFormat="1" ht="18.95" customHeight="1" thickBot="1">
      <c r="A24" s="51"/>
      <c r="B24" s="51"/>
      <c r="C24" s="136"/>
      <c r="D24" s="145"/>
      <c r="E24" s="51"/>
      <c r="F24" s="51"/>
      <c r="G24" s="57"/>
      <c r="H24" s="145"/>
      <c r="I24" s="51"/>
      <c r="J24" s="194" t="s">
        <v>0</v>
      </c>
      <c r="K24" s="137">
        <f>SUM(K11:K20)</f>
        <v>771.86195644335669</v>
      </c>
      <c r="L24" s="146" t="s">
        <v>10</v>
      </c>
    </row>
    <row r="25" spans="1:13" ht="16.5" thickBot="1">
      <c r="G25" s="57"/>
      <c r="H25" s="145"/>
      <c r="I25" s="51"/>
      <c r="J25" s="194" t="s">
        <v>312</v>
      </c>
      <c r="K25" s="137">
        <f>SUM(K21:K22)</f>
        <v>0</v>
      </c>
      <c r="L25" s="146" t="s">
        <v>10</v>
      </c>
    </row>
    <row r="27" spans="1:13" ht="29.25" customHeight="1">
      <c r="G27" s="298"/>
      <c r="H27" s="298"/>
      <c r="K27" s="298"/>
      <c r="L27" s="298"/>
    </row>
    <row r="28" spans="1:13" hidden="1"/>
    <row r="29" spans="1:13" hidden="1">
      <c r="A29" s="4" t="s">
        <v>9</v>
      </c>
      <c r="C29" s="4">
        <f>'System Config'!C7</f>
        <v>1.5</v>
      </c>
    </row>
    <row r="30" spans="1:13" hidden="1">
      <c r="A30" s="4" t="s">
        <v>55</v>
      </c>
      <c r="C30" s="4">
        <f>'System Config'!C8</f>
        <v>800</v>
      </c>
    </row>
    <row r="31" spans="1:13" hidden="1"/>
    <row r="32" spans="1:13" hidden="1">
      <c r="A32" s="4" t="s">
        <v>56</v>
      </c>
    </row>
    <row r="33" spans="1:3" hidden="1">
      <c r="A33" s="4" t="s">
        <v>48</v>
      </c>
      <c r="C33" s="4" t="str">
        <f>'DDR3 Config'!C7</f>
        <v>2Gb</v>
      </c>
    </row>
    <row r="34" spans="1:3" hidden="1">
      <c r="A34" s="4" t="s">
        <v>57</v>
      </c>
      <c r="C34" s="4">
        <f>'DDR3 Config'!C8</f>
        <v>16</v>
      </c>
    </row>
    <row r="35" spans="1:3" hidden="1">
      <c r="A35" s="4" t="s">
        <v>49</v>
      </c>
      <c r="C35" s="4" t="str">
        <f>'DDR3 Config'!C9</f>
        <v>-093E</v>
      </c>
    </row>
    <row r="36" spans="1:3" hidden="1"/>
  </sheetData>
  <mergeCells count="2">
    <mergeCell ref="G27:H27"/>
    <mergeCell ref="K27:L27"/>
  </mergeCells>
  <phoneticPr fontId="0" type="noConversion"/>
  <printOptions horizontalCentered="1"/>
  <pageMargins left="0.25" right="0.25" top="0.25" bottom="0.25" header="0.5" footer="0.5"/>
  <pageSetup scale="9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Q64"/>
  <sheetViews>
    <sheetView showGridLines="0" topLeftCell="A10" workbookViewId="0">
      <selection activeCell="D24" sqref="D24"/>
    </sheetView>
  </sheetViews>
  <sheetFormatPr defaultColWidth="8.85546875" defaultRowHeight="12.75"/>
  <cols>
    <col min="1" max="1" width="3" customWidth="1"/>
    <col min="2" max="2" width="4.85546875" customWidth="1"/>
    <col min="3" max="3" width="32" customWidth="1"/>
    <col min="14" max="14" width="25" customWidth="1"/>
    <col min="15" max="15" width="99.7109375" customWidth="1"/>
    <col min="16" max="16" width="11.28515625" customWidth="1"/>
    <col min="17" max="17" width="8.85546875" customWidth="1"/>
  </cols>
  <sheetData>
    <row r="1" spans="1:17">
      <c r="A1" s="28"/>
    </row>
    <row r="5" spans="1:17" ht="23.25">
      <c r="A5" s="149" t="str">
        <f>CONCATENATE('DDR3 Config'!C7," DDR3 SDRAM with ",'DDR3 Config'!C8," DQs and a ",'DDR3 Config'!C9," Speed Grade")</f>
        <v>2Gb DDR3 SDRAM with 16 DQs and a -093E Speed Grade</v>
      </c>
      <c r="B5" s="149"/>
      <c r="C5" s="149"/>
      <c r="D5" s="149"/>
      <c r="E5" s="149"/>
      <c r="F5" s="149"/>
      <c r="G5" s="149"/>
      <c r="H5" s="149"/>
      <c r="I5" s="149"/>
      <c r="J5" s="149"/>
      <c r="K5" s="149"/>
      <c r="L5" s="149"/>
      <c r="M5" s="149"/>
    </row>
    <row r="6" spans="1:17" ht="5.25" customHeight="1"/>
    <row r="7" spans="1:17" s="3" customFormat="1" ht="42" customHeight="1" thickBot="1">
      <c r="A7" s="147"/>
      <c r="B7" s="147"/>
      <c r="C7" s="148" t="str">
        <f>CONCATENATE(A49," ",A50," ",A51," All parameters are calculated and require no user input.")</f>
        <v>System is operating at 800 MHz clock with VDD = 1,5V. Read bandwidth is 1440 MT/s with write bandwidth of 800 MT/s. The DRAM terminates  0 MT/s. ACT commands are separated by 14,2ns on average. All parameters are calculated and require no user input.</v>
      </c>
      <c r="D7" s="148"/>
      <c r="E7" s="148"/>
      <c r="F7" s="148"/>
      <c r="G7" s="148"/>
      <c r="H7" s="148"/>
      <c r="I7" s="148"/>
      <c r="J7" s="148"/>
      <c r="K7" s="148"/>
      <c r="L7" s="148"/>
      <c r="M7" s="148"/>
    </row>
    <row r="8" spans="1:17" s="43" customFormat="1" ht="27" customHeight="1">
      <c r="A8" s="202"/>
      <c r="B8" s="299" t="s">
        <v>316</v>
      </c>
      <c r="C8" s="300"/>
      <c r="D8" s="300"/>
      <c r="E8" s="300"/>
      <c r="F8" s="203"/>
      <c r="G8" s="203"/>
      <c r="H8" s="203"/>
      <c r="I8" s="203"/>
      <c r="J8" s="203"/>
      <c r="K8" s="203"/>
      <c r="L8" s="203"/>
      <c r="M8" s="204"/>
    </row>
    <row r="9" spans="1:17" ht="15" thickBot="1">
      <c r="A9" s="205"/>
      <c r="B9" s="200"/>
      <c r="C9" s="200"/>
      <c r="D9" s="201"/>
      <c r="E9" s="200"/>
      <c r="F9" s="2"/>
      <c r="G9" s="2"/>
      <c r="H9" s="2"/>
      <c r="I9" s="2"/>
      <c r="J9" s="2"/>
      <c r="K9" s="2"/>
      <c r="L9" s="2"/>
      <c r="M9" s="206"/>
      <c r="P9" s="196" t="s">
        <v>259</v>
      </c>
      <c r="Q9" s="197" t="s">
        <v>259</v>
      </c>
    </row>
    <row r="10" spans="1:17" ht="14.25">
      <c r="A10" s="205"/>
      <c r="B10" s="231" t="s">
        <v>319</v>
      </c>
      <c r="C10" s="232"/>
      <c r="D10" s="233">
        <f>'Power Calcs'!K16</f>
        <v>366.18360160965807</v>
      </c>
      <c r="E10" s="234" t="s">
        <v>10</v>
      </c>
      <c r="F10" s="2"/>
      <c r="G10" s="2"/>
      <c r="H10" s="2"/>
      <c r="I10" s="2"/>
      <c r="J10" s="2"/>
      <c r="K10" s="2"/>
      <c r="L10" s="2"/>
      <c r="M10" s="206"/>
      <c r="P10" s="198" t="str">
        <f>$B$10</f>
        <v>ACT</v>
      </c>
      <c r="Q10" s="199">
        <f>$D$10</f>
        <v>366.18360160965807</v>
      </c>
    </row>
    <row r="11" spans="1:17" ht="15">
      <c r="A11" s="205"/>
      <c r="B11" s="227"/>
      <c r="C11" s="228" t="s">
        <v>83</v>
      </c>
      <c r="D11" s="229">
        <f>D10</f>
        <v>366.18360160965807</v>
      </c>
      <c r="E11" s="230" t="s">
        <v>10</v>
      </c>
      <c r="F11" s="2"/>
      <c r="G11" s="2"/>
      <c r="H11" s="2"/>
      <c r="I11" s="2"/>
      <c r="J11" s="2"/>
      <c r="K11" s="2"/>
      <c r="L11" s="2"/>
      <c r="M11" s="206"/>
      <c r="P11" s="198" t="str">
        <f>$B$12</f>
        <v>RD</v>
      </c>
      <c r="Q11" s="199">
        <f>$D$12</f>
        <v>127.83600000000001</v>
      </c>
    </row>
    <row r="12" spans="1:17" ht="14.25">
      <c r="A12" s="205"/>
      <c r="B12" s="235" t="s">
        <v>321</v>
      </c>
      <c r="C12" s="236"/>
      <c r="D12" s="237">
        <f>'Power Calcs'!K18</f>
        <v>127.83600000000001</v>
      </c>
      <c r="E12" s="238" t="s">
        <v>10</v>
      </c>
      <c r="F12" s="2"/>
      <c r="G12" s="2"/>
      <c r="H12" s="2"/>
      <c r="I12" s="2"/>
      <c r="J12" s="2"/>
      <c r="K12" s="2"/>
      <c r="L12" s="2"/>
      <c r="M12" s="206"/>
      <c r="P12" s="198" t="str">
        <f>$B$13</f>
        <v>WR</v>
      </c>
      <c r="Q12" s="199">
        <f>$D$13</f>
        <v>79.060000000000016</v>
      </c>
    </row>
    <row r="13" spans="1:17" ht="14.25">
      <c r="A13" s="205"/>
      <c r="B13" s="235" t="s">
        <v>320</v>
      </c>
      <c r="C13" s="236"/>
      <c r="D13" s="237">
        <f>'Power Calcs'!K17</f>
        <v>79.060000000000016</v>
      </c>
      <c r="E13" s="238" t="s">
        <v>10</v>
      </c>
      <c r="F13" s="2"/>
      <c r="G13" s="2"/>
      <c r="H13" s="2"/>
      <c r="I13" s="2"/>
      <c r="J13" s="2"/>
      <c r="K13" s="2"/>
      <c r="L13" s="2"/>
      <c r="M13" s="206"/>
      <c r="P13" s="198" t="str">
        <f>$B$14</f>
        <v>READ I/O</v>
      </c>
      <c r="Q13" s="199">
        <f>$D$14</f>
        <v>34.929036739881923</v>
      </c>
    </row>
    <row r="14" spans="1:17" ht="14.25">
      <c r="A14" s="205"/>
      <c r="B14" s="235" t="s">
        <v>322</v>
      </c>
      <c r="C14" s="236"/>
      <c r="D14" s="237">
        <f>'Power Calcs'!K19</f>
        <v>34.929036739881923</v>
      </c>
      <c r="E14" s="238" t="s">
        <v>10</v>
      </c>
      <c r="F14" s="2"/>
      <c r="G14" s="2"/>
      <c r="H14" s="2"/>
      <c r="I14" s="2"/>
      <c r="J14" s="2"/>
      <c r="K14" s="2"/>
      <c r="L14" s="2"/>
      <c r="M14" s="206"/>
      <c r="P14" s="198" t="str">
        <f>$B$15</f>
        <v>Write ODT</v>
      </c>
      <c r="Q14" s="199">
        <f>$D$15</f>
        <v>100.82639296561157</v>
      </c>
    </row>
    <row r="15" spans="1:17" ht="14.25">
      <c r="A15" s="205"/>
      <c r="B15" s="235" t="s">
        <v>323</v>
      </c>
      <c r="C15" s="236"/>
      <c r="D15" s="237">
        <f>'Power Calcs'!K20</f>
        <v>100.82639296561157</v>
      </c>
      <c r="E15" s="238" t="s">
        <v>10</v>
      </c>
      <c r="F15" s="2"/>
      <c r="G15" s="2"/>
      <c r="H15" s="2"/>
      <c r="I15" s="2"/>
      <c r="J15" s="2"/>
      <c r="K15" s="2"/>
      <c r="L15" s="2"/>
      <c r="M15" s="206"/>
      <c r="P15" s="198" t="str">
        <f>$B$17</f>
        <v>ACT_STBY</v>
      </c>
      <c r="Q15" s="199">
        <f>$D$17</f>
        <v>35.081200000000003</v>
      </c>
    </row>
    <row r="16" spans="1:17" ht="15">
      <c r="A16" s="205"/>
      <c r="B16" s="223"/>
      <c r="C16" s="224" t="s">
        <v>97</v>
      </c>
      <c r="D16" s="225">
        <f>+D12+D13+D14+D15</f>
        <v>342.65142970549351</v>
      </c>
      <c r="E16" s="226" t="s">
        <v>10</v>
      </c>
      <c r="F16" s="2"/>
      <c r="G16" s="2"/>
      <c r="H16" s="2"/>
      <c r="I16" s="2"/>
      <c r="J16" s="2"/>
      <c r="K16" s="2"/>
      <c r="L16" s="2"/>
      <c r="M16" s="206"/>
      <c r="P16" s="198" t="str">
        <f>$B$18</f>
        <v>PRE_STBY</v>
      </c>
      <c r="Q16" s="199">
        <f>$D$18</f>
        <v>14.214719999999998</v>
      </c>
    </row>
    <row r="17" spans="1:17" ht="14.25">
      <c r="A17" s="205"/>
      <c r="B17" s="239" t="s">
        <v>317</v>
      </c>
      <c r="C17" s="240"/>
      <c r="D17" s="241">
        <f>'Power Calcs'!K14</f>
        <v>35.081200000000003</v>
      </c>
      <c r="E17" s="242" t="s">
        <v>10</v>
      </c>
      <c r="F17" s="2"/>
      <c r="G17" s="2"/>
      <c r="H17" s="2"/>
      <c r="I17" s="2"/>
      <c r="J17" s="2"/>
      <c r="K17" s="2"/>
      <c r="L17" s="2"/>
      <c r="M17" s="206"/>
      <c r="P17" s="198" t="str">
        <f>$B$19</f>
        <v>ACT_PDN</v>
      </c>
      <c r="Q17" s="199">
        <f>$D$19</f>
        <v>6.1907999999999994</v>
      </c>
    </row>
    <row r="18" spans="1:17" ht="14.25">
      <c r="A18" s="205"/>
      <c r="B18" s="239" t="s">
        <v>314</v>
      </c>
      <c r="C18" s="240"/>
      <c r="D18" s="241">
        <f>'Power Calcs'!K12</f>
        <v>14.214719999999998</v>
      </c>
      <c r="E18" s="242" t="s">
        <v>10</v>
      </c>
      <c r="F18" s="2"/>
      <c r="G18" s="2"/>
      <c r="H18" s="2"/>
      <c r="I18" s="2"/>
      <c r="J18" s="2"/>
      <c r="K18" s="2"/>
      <c r="L18" s="2"/>
      <c r="M18" s="206"/>
      <c r="P18" s="198" t="str">
        <f>$B$20</f>
        <v>PRE_PDN</v>
      </c>
      <c r="Q18" s="199">
        <f>$D$20</f>
        <v>2.4119999999999999</v>
      </c>
    </row>
    <row r="19" spans="1:17" ht="14.25">
      <c r="A19" s="205"/>
      <c r="B19" s="239" t="s">
        <v>315</v>
      </c>
      <c r="C19" s="240"/>
      <c r="D19" s="241">
        <f>'Power Calcs'!K13</f>
        <v>6.1907999999999994</v>
      </c>
      <c r="E19" s="242" t="s">
        <v>10</v>
      </c>
      <c r="F19" s="2"/>
      <c r="G19" s="2"/>
      <c r="H19" s="2"/>
      <c r="I19" s="2"/>
      <c r="J19" s="2"/>
      <c r="K19" s="2"/>
      <c r="L19" s="2"/>
      <c r="M19" s="206"/>
      <c r="P19" s="198" t="str">
        <f>$B$21</f>
        <v>REF</v>
      </c>
      <c r="Q19" s="199">
        <f>$D$21</f>
        <v>5.1282051282051295</v>
      </c>
    </row>
    <row r="20" spans="1:17" ht="14.25">
      <c r="A20" s="205"/>
      <c r="B20" s="239" t="s">
        <v>313</v>
      </c>
      <c r="C20" s="240"/>
      <c r="D20" s="241">
        <f>'Power Calcs'!K11</f>
        <v>2.4119999999999999</v>
      </c>
      <c r="E20" s="242" t="s">
        <v>10</v>
      </c>
      <c r="F20" s="2"/>
      <c r="G20" s="2"/>
      <c r="H20" s="2"/>
      <c r="I20" s="2"/>
      <c r="J20" s="2"/>
      <c r="K20" s="2"/>
      <c r="L20" s="2"/>
      <c r="M20" s="206"/>
      <c r="P20" s="198" t="str">
        <f>$B$24</f>
        <v>TERM 2nd rank</v>
      </c>
      <c r="Q20" s="199">
        <f>$D$24</f>
        <v>0</v>
      </c>
    </row>
    <row r="21" spans="1:17" ht="14.25">
      <c r="A21" s="205"/>
      <c r="B21" s="239" t="s">
        <v>318</v>
      </c>
      <c r="C21" s="240"/>
      <c r="D21" s="241">
        <f>'Power Calcs'!K15</f>
        <v>5.1282051282051295</v>
      </c>
      <c r="E21" s="242" t="s">
        <v>10</v>
      </c>
      <c r="F21" s="2"/>
      <c r="G21" s="2"/>
      <c r="H21" s="2"/>
      <c r="I21" s="2"/>
      <c r="J21" s="2"/>
      <c r="K21" s="2"/>
      <c r="L21" s="2"/>
      <c r="M21" s="206"/>
      <c r="P21" s="196" t="s">
        <v>259</v>
      </c>
      <c r="Q21" s="195"/>
    </row>
    <row r="22" spans="1:17" ht="15">
      <c r="A22" s="205"/>
      <c r="B22" s="219"/>
      <c r="C22" s="220" t="s">
        <v>59</v>
      </c>
      <c r="D22" s="221">
        <f>SUM(D17:D21)</f>
        <v>63.026925128205136</v>
      </c>
      <c r="E22" s="222" t="s">
        <v>10</v>
      </c>
      <c r="F22" s="2"/>
      <c r="G22" s="2"/>
      <c r="H22" s="2"/>
      <c r="I22" s="2"/>
      <c r="J22" s="2"/>
      <c r="K22" s="2"/>
      <c r="L22" s="2"/>
      <c r="M22" s="206"/>
      <c r="P22" s="196" t="s">
        <v>259</v>
      </c>
      <c r="Q22" s="195"/>
    </row>
    <row r="23" spans="1:17" ht="15">
      <c r="A23" s="205"/>
      <c r="B23" s="211" t="s">
        <v>217</v>
      </c>
      <c r="C23" s="210"/>
      <c r="D23" s="212">
        <f>+D16+D11+D22</f>
        <v>771.86195644335669</v>
      </c>
      <c r="E23" s="213" t="s">
        <v>10</v>
      </c>
      <c r="F23" s="2"/>
      <c r="G23" s="2"/>
      <c r="H23" s="2"/>
      <c r="I23" s="2"/>
      <c r="J23" s="2"/>
      <c r="K23" s="2"/>
      <c r="L23" s="2"/>
      <c r="M23" s="206"/>
      <c r="P23" s="196" t="s">
        <v>259</v>
      </c>
      <c r="Q23" s="195"/>
    </row>
    <row r="24" spans="1:17" ht="15.75" thickBot="1">
      <c r="A24" s="205"/>
      <c r="B24" s="215" t="s">
        <v>324</v>
      </c>
      <c r="C24" s="216"/>
      <c r="D24" s="217">
        <f>+'Power Calcs'!K21+'Power Calcs'!K22</f>
        <v>0</v>
      </c>
      <c r="E24" s="218" t="s">
        <v>10</v>
      </c>
      <c r="F24" s="2"/>
      <c r="G24" s="2"/>
      <c r="H24" s="2"/>
      <c r="I24" s="2"/>
      <c r="J24" s="2"/>
      <c r="K24" s="2"/>
      <c r="L24" s="2"/>
      <c r="M24" s="206"/>
      <c r="P24" s="196" t="s">
        <v>259</v>
      </c>
      <c r="Q24" s="195"/>
    </row>
    <row r="25" spans="1:17">
      <c r="A25" s="205"/>
      <c r="B25" s="2"/>
      <c r="C25" s="52"/>
      <c r="D25" s="52"/>
      <c r="E25" s="2"/>
      <c r="F25" s="2"/>
      <c r="G25" s="2"/>
      <c r="H25" s="2"/>
      <c r="I25" s="2"/>
      <c r="J25" s="2"/>
      <c r="K25" s="2"/>
      <c r="L25" s="2"/>
      <c r="M25" s="206"/>
      <c r="P25" s="196" t="s">
        <v>259</v>
      </c>
      <c r="Q25" s="195"/>
    </row>
    <row r="26" spans="1:17">
      <c r="A26" s="205"/>
      <c r="B26" s="2"/>
      <c r="C26" s="52"/>
      <c r="D26" s="52"/>
      <c r="E26" s="2"/>
      <c r="F26" s="2"/>
      <c r="G26" s="2"/>
      <c r="H26" s="2"/>
      <c r="I26" s="2"/>
      <c r="J26" s="2"/>
      <c r="K26" s="2"/>
      <c r="L26" s="2"/>
      <c r="M26" s="206"/>
    </row>
    <row r="27" spans="1:17">
      <c r="A27" s="205"/>
      <c r="B27" s="2"/>
      <c r="C27" s="52"/>
      <c r="D27" s="52"/>
      <c r="E27" s="2"/>
      <c r="F27" s="2"/>
      <c r="G27" s="2"/>
      <c r="H27" s="2"/>
      <c r="I27" s="2"/>
      <c r="J27" s="2"/>
      <c r="K27" s="2"/>
      <c r="L27" s="2"/>
      <c r="M27" s="206"/>
    </row>
    <row r="28" spans="1:17">
      <c r="A28" s="205"/>
      <c r="B28" s="2"/>
      <c r="C28" s="52"/>
      <c r="D28" s="52"/>
      <c r="E28" s="2"/>
      <c r="F28" s="2"/>
      <c r="G28" s="2"/>
      <c r="H28" s="2"/>
      <c r="I28" s="2"/>
      <c r="J28" s="2"/>
      <c r="K28" s="2"/>
      <c r="L28" s="2"/>
      <c r="M28" s="206"/>
    </row>
    <row r="29" spans="1:17">
      <c r="A29" s="205"/>
      <c r="B29" s="2"/>
      <c r="C29" s="52"/>
      <c r="D29" s="52"/>
      <c r="E29" s="2"/>
      <c r="F29" s="2"/>
      <c r="G29" s="2"/>
      <c r="H29" s="2"/>
      <c r="I29" s="2"/>
      <c r="J29" s="2"/>
      <c r="K29" s="2"/>
      <c r="L29" s="2"/>
      <c r="M29" s="206"/>
    </row>
    <row r="30" spans="1:17">
      <c r="A30" s="205"/>
      <c r="B30" s="2"/>
      <c r="C30" s="52"/>
      <c r="D30" s="52"/>
      <c r="E30" s="2"/>
      <c r="F30" s="2"/>
      <c r="G30" s="2"/>
      <c r="H30" s="2"/>
      <c r="I30" s="2"/>
      <c r="J30" s="2"/>
      <c r="K30" s="2"/>
      <c r="L30" s="2"/>
      <c r="M30" s="206"/>
    </row>
    <row r="31" spans="1:17">
      <c r="A31" s="205"/>
      <c r="B31" s="2"/>
      <c r="C31" s="52"/>
      <c r="D31" s="52"/>
      <c r="E31" s="2"/>
      <c r="F31" s="2"/>
      <c r="G31" s="2"/>
      <c r="H31" s="2"/>
      <c r="I31" s="2"/>
      <c r="J31" s="2"/>
      <c r="K31" s="2"/>
      <c r="L31" s="2"/>
      <c r="M31" s="206"/>
    </row>
    <row r="32" spans="1:17">
      <c r="A32" s="205"/>
      <c r="B32" s="2"/>
      <c r="C32" s="52"/>
      <c r="D32" s="52"/>
      <c r="E32" s="2"/>
      <c r="F32" s="2"/>
      <c r="G32" s="2"/>
      <c r="H32" s="2"/>
      <c r="I32" s="2"/>
      <c r="J32" s="2"/>
      <c r="K32" s="2"/>
      <c r="L32" s="2"/>
      <c r="M32" s="206"/>
    </row>
    <row r="33" spans="1:13">
      <c r="A33" s="205"/>
      <c r="B33" s="2"/>
      <c r="C33" s="52"/>
      <c r="D33" s="52"/>
      <c r="E33" s="2"/>
      <c r="F33" s="2"/>
      <c r="G33" s="2"/>
      <c r="H33" s="2"/>
      <c r="I33" s="2"/>
      <c r="J33" s="2"/>
      <c r="K33" s="2"/>
      <c r="L33" s="2"/>
      <c r="M33" s="206"/>
    </row>
    <row r="34" spans="1:13">
      <c r="A34" s="205"/>
      <c r="B34" s="2"/>
      <c r="C34" s="52"/>
      <c r="D34" s="52"/>
      <c r="E34" s="2"/>
      <c r="F34" s="2"/>
      <c r="G34" s="2"/>
      <c r="H34" s="2"/>
      <c r="I34" s="2"/>
      <c r="J34" s="2"/>
      <c r="K34" s="2"/>
      <c r="L34" s="2"/>
      <c r="M34" s="206"/>
    </row>
    <row r="35" spans="1:13">
      <c r="A35" s="205"/>
      <c r="B35" s="2"/>
      <c r="C35" s="52"/>
      <c r="D35" s="52"/>
      <c r="E35" s="2"/>
      <c r="F35" s="2"/>
      <c r="G35" s="2"/>
      <c r="H35" s="2"/>
      <c r="I35" s="2"/>
      <c r="J35" s="2"/>
      <c r="K35" s="2"/>
      <c r="L35" s="2"/>
      <c r="M35" s="206"/>
    </row>
    <row r="36" spans="1:13">
      <c r="A36" s="205"/>
      <c r="B36" s="2"/>
      <c r="C36" s="52"/>
      <c r="D36" s="52"/>
      <c r="E36" s="2"/>
      <c r="F36" s="2"/>
      <c r="G36" s="2"/>
      <c r="H36" s="2"/>
      <c r="I36" s="2"/>
      <c r="J36" s="2"/>
      <c r="K36" s="2"/>
      <c r="L36" s="2"/>
      <c r="M36" s="206"/>
    </row>
    <row r="37" spans="1:13">
      <c r="A37" s="205"/>
      <c r="B37" s="2"/>
      <c r="C37" s="52"/>
      <c r="D37" s="52"/>
      <c r="E37" s="2"/>
      <c r="F37" s="2"/>
      <c r="G37" s="2"/>
      <c r="H37" s="2"/>
      <c r="I37" s="2"/>
      <c r="J37" s="2"/>
      <c r="K37" s="2"/>
      <c r="L37" s="2"/>
      <c r="M37" s="206"/>
    </row>
    <row r="38" spans="1:13">
      <c r="A38" s="205"/>
      <c r="B38" s="2"/>
      <c r="C38" s="52"/>
      <c r="D38" s="52"/>
      <c r="E38" s="2"/>
      <c r="F38" s="2"/>
      <c r="G38" s="2"/>
      <c r="H38" s="2"/>
      <c r="I38" s="2"/>
      <c r="J38" s="2"/>
      <c r="K38" s="2"/>
      <c r="L38" s="2"/>
      <c r="M38" s="206"/>
    </row>
    <row r="39" spans="1:13">
      <c r="A39" s="205"/>
      <c r="B39" s="2"/>
      <c r="C39" s="52"/>
      <c r="D39" s="52"/>
      <c r="E39" s="2"/>
      <c r="F39" s="2"/>
      <c r="G39" s="2"/>
      <c r="H39" s="2"/>
      <c r="I39" s="2"/>
      <c r="J39" s="2"/>
      <c r="K39" s="2"/>
      <c r="L39" s="2"/>
      <c r="M39" s="206"/>
    </row>
    <row r="40" spans="1:13">
      <c r="A40" s="205"/>
      <c r="B40" s="2"/>
      <c r="C40" s="52"/>
      <c r="D40" s="52"/>
      <c r="E40" s="2"/>
      <c r="F40" s="2"/>
      <c r="G40" s="2"/>
      <c r="H40" s="2"/>
      <c r="I40" s="2"/>
      <c r="J40" s="2"/>
      <c r="K40" s="2"/>
      <c r="L40" s="2"/>
      <c r="M40" s="206"/>
    </row>
    <row r="41" spans="1:13">
      <c r="A41" s="205"/>
      <c r="B41" s="2"/>
      <c r="C41" s="52"/>
      <c r="D41" s="52"/>
      <c r="E41" s="2"/>
      <c r="F41" s="2"/>
      <c r="G41" s="2"/>
      <c r="H41" s="2"/>
      <c r="I41" s="2"/>
      <c r="J41" s="2"/>
      <c r="K41" s="2"/>
      <c r="L41" s="2"/>
      <c r="M41" s="206"/>
    </row>
    <row r="42" spans="1:13">
      <c r="A42" s="205"/>
      <c r="B42" s="2"/>
      <c r="C42" s="52"/>
      <c r="D42" s="52"/>
      <c r="E42" s="2"/>
      <c r="F42" s="2"/>
      <c r="G42" s="2"/>
      <c r="H42" s="2"/>
      <c r="I42" s="2"/>
      <c r="J42" s="2"/>
      <c r="K42" s="2"/>
      <c r="L42" s="2"/>
      <c r="M42" s="206"/>
    </row>
    <row r="43" spans="1:13">
      <c r="A43" s="205"/>
      <c r="B43" s="2"/>
      <c r="C43" s="52"/>
      <c r="D43" s="52"/>
      <c r="E43" s="2"/>
      <c r="F43" s="2"/>
      <c r="G43" s="2"/>
      <c r="H43" s="2"/>
      <c r="I43" s="2"/>
      <c r="J43" s="2"/>
      <c r="K43" s="2"/>
      <c r="L43" s="2"/>
      <c r="M43" s="206"/>
    </row>
    <row r="44" spans="1:13">
      <c r="A44" s="205"/>
      <c r="B44" s="2"/>
      <c r="C44" s="52"/>
      <c r="D44" s="52"/>
      <c r="E44" s="2"/>
      <c r="F44" s="2"/>
      <c r="G44" s="2"/>
      <c r="H44" s="2"/>
      <c r="I44" s="2"/>
      <c r="J44" s="2"/>
      <c r="K44" s="2"/>
      <c r="L44" s="2"/>
      <c r="M44" s="206"/>
    </row>
    <row r="45" spans="1:13">
      <c r="A45" s="205"/>
      <c r="B45" s="2"/>
      <c r="C45" s="2"/>
      <c r="D45" s="2"/>
      <c r="E45" s="2"/>
      <c r="F45" s="2"/>
      <c r="G45" s="2"/>
      <c r="H45" s="2"/>
      <c r="I45" s="2"/>
      <c r="J45" s="2"/>
      <c r="K45" s="2"/>
      <c r="L45" s="2"/>
      <c r="M45" s="206"/>
    </row>
    <row r="46" spans="1:13">
      <c r="A46" s="205"/>
      <c r="B46" s="2"/>
      <c r="C46" s="2"/>
      <c r="D46" s="2"/>
      <c r="E46" s="2"/>
      <c r="F46" s="2"/>
      <c r="G46" s="2"/>
      <c r="H46" s="2"/>
      <c r="I46" s="2"/>
      <c r="J46" s="2"/>
      <c r="K46" s="2"/>
      <c r="L46" s="2"/>
      <c r="M46" s="206"/>
    </row>
    <row r="47" spans="1:13">
      <c r="A47" s="205"/>
      <c r="B47" s="2"/>
      <c r="C47" s="2"/>
      <c r="D47" s="2"/>
      <c r="E47" s="2"/>
      <c r="F47" s="2"/>
      <c r="G47" s="2"/>
      <c r="H47" s="2"/>
      <c r="I47" s="2"/>
      <c r="J47" s="2"/>
      <c r="K47" s="2"/>
      <c r="L47" s="2"/>
      <c r="M47" s="206"/>
    </row>
    <row r="48" spans="1:13">
      <c r="A48" s="205"/>
      <c r="B48" s="2"/>
      <c r="C48" s="2"/>
      <c r="D48" s="2"/>
      <c r="E48" s="2"/>
      <c r="F48" s="2"/>
      <c r="G48" s="2"/>
      <c r="H48" s="2"/>
      <c r="I48" s="2"/>
      <c r="J48" s="2"/>
      <c r="K48" s="2"/>
      <c r="L48" s="2"/>
      <c r="M48" s="206"/>
    </row>
    <row r="49" spans="1:13" hidden="1">
      <c r="A49" s="205" t="str">
        <f>CONCATENATE("System is operating at ",'System Config'!C8," MHz clock with VDD = ",'System Config'!C7,"V.")</f>
        <v>System is operating at 800 MHz clock with VDD = 1,5V.</v>
      </c>
      <c r="B49" s="2"/>
      <c r="C49" s="2"/>
      <c r="D49" s="2"/>
      <c r="E49" s="2"/>
      <c r="F49" s="2"/>
      <c r="G49" s="2"/>
      <c r="H49" s="2"/>
      <c r="I49" s="2"/>
      <c r="J49" s="2"/>
      <c r="K49" s="2"/>
      <c r="L49" s="2"/>
      <c r="M49" s="206"/>
    </row>
    <row r="50" spans="1:13" hidden="1">
      <c r="A50" s="205" t="str">
        <f>CONCATENATE("Read bandwidth is ",B52," MT/s with write bandwidth of ",B53," MT/s. The DRAM terminates  ",B54," MT/s.")</f>
        <v>Read bandwidth is 1440 MT/s with write bandwidth of 800 MT/s. The DRAM terminates  0 MT/s.</v>
      </c>
      <c r="B50" s="2"/>
      <c r="C50" s="2"/>
      <c r="D50" s="2"/>
      <c r="E50" s="2"/>
      <c r="F50" s="2"/>
      <c r="G50" s="2"/>
      <c r="H50" s="2"/>
      <c r="I50" s="2"/>
      <c r="J50" s="2"/>
      <c r="K50" s="2"/>
      <c r="L50" s="2"/>
      <c r="M50" s="206"/>
    </row>
    <row r="51" spans="1:13" hidden="1">
      <c r="A51" s="205" t="str">
        <f>CONCATENATE("ACT commands are separated by ",'System Config'!C28,"ns on average.")</f>
        <v>ACT commands are separated by 14,2ns on average.</v>
      </c>
      <c r="B51" s="2"/>
      <c r="C51" s="2"/>
      <c r="D51" s="2"/>
      <c r="E51" s="2"/>
      <c r="F51" s="2"/>
      <c r="G51" s="2"/>
      <c r="H51" s="2"/>
      <c r="I51" s="2"/>
      <c r="J51" s="2"/>
      <c r="K51" s="2"/>
      <c r="L51" s="2"/>
      <c r="M51" s="206"/>
    </row>
    <row r="52" spans="1:13" hidden="1">
      <c r="A52" s="205"/>
      <c r="B52" s="53">
        <f>INT('System Config'!C8*'System Config'!C22*'DDR3 Config'!C8/8*20+0.999)/10</f>
        <v>1440</v>
      </c>
      <c r="C52" s="2" t="s">
        <v>36</v>
      </c>
      <c r="D52" s="2"/>
      <c r="E52" s="2"/>
      <c r="F52" s="2"/>
      <c r="G52" s="2"/>
      <c r="H52" s="2"/>
      <c r="I52" s="2"/>
      <c r="J52" s="2"/>
      <c r="K52" s="2"/>
      <c r="L52" s="2"/>
      <c r="M52" s="206"/>
    </row>
    <row r="53" spans="1:13" hidden="1">
      <c r="A53" s="205" t="s">
        <v>14</v>
      </c>
      <c r="B53" s="54">
        <f>INT('System Config'!C8*'System Config'!C23*'DDR3 Config'!C8/8*20+0.99)/10</f>
        <v>800</v>
      </c>
      <c r="C53" s="2" t="s">
        <v>36</v>
      </c>
      <c r="D53" s="2"/>
      <c r="E53" s="2"/>
      <c r="F53" s="2"/>
      <c r="G53" s="2"/>
      <c r="H53" s="2"/>
      <c r="I53" s="2"/>
      <c r="J53" s="2"/>
      <c r="K53" s="2"/>
      <c r="L53" s="2"/>
      <c r="M53" s="206"/>
    </row>
    <row r="54" spans="1:13" hidden="1">
      <c r="A54" s="205" t="s">
        <v>35</v>
      </c>
      <c r="B54" s="55">
        <f>INT('System Config'!C8*('System Config'!C26+'System Config'!C25)*'DDR3 Config'!C8/8*20+0.99)/10</f>
        <v>0</v>
      </c>
      <c r="C54" s="2" t="s">
        <v>36</v>
      </c>
      <c r="D54" s="2"/>
      <c r="E54" s="2"/>
      <c r="F54" s="2"/>
      <c r="G54" s="2"/>
      <c r="H54" s="2"/>
      <c r="I54" s="2"/>
      <c r="J54" s="2"/>
      <c r="K54" s="2"/>
      <c r="L54" s="2"/>
      <c r="M54" s="206"/>
    </row>
    <row r="55" spans="1:13" hidden="1">
      <c r="A55" s="205" t="s">
        <v>98</v>
      </c>
      <c r="B55" s="2"/>
      <c r="C55" s="2"/>
      <c r="D55" s="2"/>
      <c r="E55" s="2"/>
      <c r="F55" s="2"/>
      <c r="G55" s="2"/>
      <c r="H55" s="2"/>
      <c r="I55" s="2"/>
      <c r="J55" s="2"/>
      <c r="K55" s="2"/>
      <c r="L55" s="2"/>
      <c r="M55" s="206"/>
    </row>
    <row r="56" spans="1:13" hidden="1">
      <c r="A56" s="205"/>
      <c r="B56" s="2"/>
      <c r="C56" s="2"/>
      <c r="D56" s="2"/>
      <c r="E56" s="2"/>
      <c r="F56" s="2"/>
      <c r="G56" s="2"/>
      <c r="H56" s="2"/>
      <c r="I56" s="2"/>
      <c r="J56" s="2"/>
      <c r="K56" s="2"/>
      <c r="L56" s="2"/>
      <c r="M56" s="206"/>
    </row>
    <row r="57" spans="1:13">
      <c r="A57" s="205"/>
      <c r="B57" s="2"/>
      <c r="C57" s="2"/>
      <c r="D57" s="2"/>
      <c r="E57" s="2"/>
      <c r="F57" s="2"/>
      <c r="G57" s="2"/>
      <c r="H57" s="2"/>
      <c r="I57" s="2"/>
      <c r="J57" s="2"/>
      <c r="K57" s="2"/>
      <c r="L57" s="2"/>
      <c r="M57" s="206"/>
    </row>
    <row r="58" spans="1:13">
      <c r="A58" s="205"/>
      <c r="B58" s="2"/>
      <c r="C58" s="2"/>
      <c r="D58" s="2"/>
      <c r="E58" s="2"/>
      <c r="F58" s="2"/>
      <c r="G58" s="2"/>
      <c r="H58" s="2"/>
      <c r="I58" s="2"/>
      <c r="J58" s="2"/>
      <c r="K58" s="2"/>
      <c r="L58" s="2"/>
      <c r="M58" s="206"/>
    </row>
    <row r="59" spans="1:13">
      <c r="A59" s="205"/>
      <c r="B59" s="2"/>
      <c r="C59" s="2"/>
      <c r="D59" s="2"/>
      <c r="E59" s="2"/>
      <c r="F59" s="2"/>
      <c r="G59" s="2"/>
      <c r="H59" s="2"/>
      <c r="I59" s="2"/>
      <c r="J59" s="2"/>
      <c r="K59" s="2"/>
      <c r="L59" s="2"/>
      <c r="M59" s="206"/>
    </row>
    <row r="60" spans="1:13">
      <c r="A60" s="205"/>
      <c r="B60" s="2"/>
      <c r="C60" s="2"/>
      <c r="D60" s="2"/>
      <c r="E60" s="2"/>
      <c r="F60" s="2"/>
      <c r="G60" s="2"/>
      <c r="H60" s="2"/>
      <c r="I60" s="2"/>
      <c r="J60" s="2"/>
      <c r="K60" s="2"/>
      <c r="L60" s="2"/>
      <c r="M60" s="206"/>
    </row>
    <row r="61" spans="1:13">
      <c r="A61" s="205"/>
      <c r="B61" s="2"/>
      <c r="C61" s="2"/>
      <c r="D61" s="2"/>
      <c r="E61" s="2"/>
      <c r="F61" s="2"/>
      <c r="G61" s="2"/>
      <c r="H61" s="2"/>
      <c r="I61" s="2"/>
      <c r="J61" s="2"/>
      <c r="K61" s="2"/>
      <c r="L61" s="2"/>
      <c r="M61" s="206"/>
    </row>
    <row r="62" spans="1:13">
      <c r="A62" s="205"/>
      <c r="B62" s="2"/>
      <c r="C62" s="2"/>
      <c r="D62" s="2"/>
      <c r="E62" s="2"/>
      <c r="F62" s="2"/>
      <c r="G62" s="2"/>
      <c r="H62" s="2"/>
      <c r="I62" s="2"/>
      <c r="J62" s="2"/>
      <c r="K62" s="2"/>
      <c r="L62" s="2"/>
      <c r="M62" s="206"/>
    </row>
    <row r="63" spans="1:13">
      <c r="A63" s="205"/>
      <c r="B63" s="2"/>
      <c r="C63" s="2"/>
      <c r="D63" s="2"/>
      <c r="E63" s="2"/>
      <c r="F63" s="2"/>
      <c r="G63" s="2"/>
      <c r="H63" s="2"/>
      <c r="I63" s="2"/>
      <c r="J63" s="2"/>
      <c r="K63" s="2"/>
      <c r="L63" s="2"/>
      <c r="M63" s="206"/>
    </row>
    <row r="64" spans="1:13" ht="13.5" thickBot="1">
      <c r="A64" s="207"/>
      <c r="B64" s="208"/>
      <c r="C64" s="208"/>
      <c r="D64" s="208"/>
      <c r="E64" s="208"/>
      <c r="F64" s="208"/>
      <c r="G64" s="208"/>
      <c r="H64" s="208"/>
      <c r="I64" s="208"/>
      <c r="J64" s="208"/>
      <c r="K64" s="208"/>
      <c r="L64" s="208"/>
      <c r="M64" s="209"/>
    </row>
  </sheetData>
  <mergeCells count="1">
    <mergeCell ref="B8:E8"/>
  </mergeCells>
  <phoneticPr fontId="0" type="noConversion"/>
  <printOptions horizontalCentered="1"/>
  <pageMargins left="0.25" right="0.25" top="0.25" bottom="0.25" header="0.5" footer="0.5"/>
  <pageSetup scale="83"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7</vt:i4>
      </vt:variant>
      <vt:variant>
        <vt:lpstr>Zakresy nazwane</vt:lpstr>
      </vt:variant>
      <vt:variant>
        <vt:i4>7</vt:i4>
      </vt:variant>
    </vt:vector>
  </HeadingPairs>
  <TitlesOfParts>
    <vt:vector size="14" baseType="lpstr">
      <vt:lpstr>Title</vt:lpstr>
      <vt:lpstr>Instructions</vt:lpstr>
      <vt:lpstr>DDR3 Spec</vt:lpstr>
      <vt:lpstr>DDR3 Config</vt:lpstr>
      <vt:lpstr>System Config</vt:lpstr>
      <vt:lpstr>Power Calcs</vt:lpstr>
      <vt:lpstr>Summary</vt:lpstr>
      <vt:lpstr>'DDR3 Config'!Obszar_wydruku</vt:lpstr>
      <vt:lpstr>'DDR3 Spec'!Obszar_wydruku</vt:lpstr>
      <vt:lpstr>Instructions!Obszar_wydruku</vt:lpstr>
      <vt:lpstr>'Power Calcs'!Obszar_wydruku</vt:lpstr>
      <vt:lpstr>Summary!Obszar_wydruku</vt:lpstr>
      <vt:lpstr>'System Config'!Obszar_wydruku</vt:lpstr>
      <vt:lpstr>Title!Obszar_wydruku</vt:lpstr>
    </vt:vector>
  </TitlesOfParts>
  <Company>Micron Technology,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Greg</cp:lastModifiedBy>
  <cp:lastPrinted>2007-03-14T16:31:05Z</cp:lastPrinted>
  <dcterms:created xsi:type="dcterms:W3CDTF">2001-02-07T14:39:54Z</dcterms:created>
  <dcterms:modified xsi:type="dcterms:W3CDTF">2016-10-30T10:52:49Z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